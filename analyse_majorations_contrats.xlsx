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Analyse Comparative" sheetId="2" state="visible" r:id="rId4"/>
    <sheet name="Stats par Segment" sheetId="3" state="visible" r:id="rId5"/>
    <sheet name="Dashboard" sheetId="4" state="visible" r:id="rId6"/>
    <sheet name="Note Méthodologiqu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<sst xmlns="http://schemas.openxmlformats.org/spreadsheetml/2006/main" count="130" uniqueCount="92">
  <si>
    <t xml:space="preserve">DONNÉES CONTRATS - ANALYSE TERME</t>
  </si>
  <si>
    <t xml:space="preserve">N° Contrat</t>
  </si>
  <si>
    <t xml:space="preserve">CT Yasmine</t>
  </si>
  <si>
    <t xml:space="preserve">Majoration Yasmine</t>
  </si>
  <si>
    <t xml:space="preserve">Prime HT Avant Terme</t>
  </si>
  <si>
    <t xml:space="preserve">Prime HT Après Terme</t>
  </si>
  <si>
    <t xml:space="preserve">Prime TTC Avant Terme</t>
  </si>
  <si>
    <t xml:space="preserve">Prime TTC Après Terme</t>
  </si>
  <si>
    <t xml:space="preserve">Segment Sinistralité</t>
  </si>
  <si>
    <t xml:space="preserve">Statut IT</t>
  </si>
  <si>
    <t xml:space="preserve">Prime HT Après Test IT</t>
  </si>
  <si>
    <t xml:space="preserve">Écart IT (Majoration)</t>
  </si>
  <si>
    <t xml:space="preserve">CT Après Test IT</t>
  </si>
  <si>
    <t xml:space="preserve">C-2024-001</t>
  </si>
  <si>
    <t xml:space="preserve">Bon</t>
  </si>
  <si>
    <t xml:space="preserve">Passé</t>
  </si>
  <si>
    <t xml:space="preserve">C-2024-002</t>
  </si>
  <si>
    <t xml:space="preserve">Mauvais</t>
  </si>
  <si>
    <t xml:space="preserve">C-2024-003</t>
  </si>
  <si>
    <t xml:space="preserve">Très bon</t>
  </si>
  <si>
    <t xml:space="preserve">C-2024-004</t>
  </si>
  <si>
    <t xml:space="preserve">Moyen</t>
  </si>
  <si>
    <t xml:space="preserve">En cours</t>
  </si>
  <si>
    <t xml:space="preserve">C-2024-005</t>
  </si>
  <si>
    <t xml:space="preserve">Très mauvais</t>
  </si>
  <si>
    <t xml:space="preserve">C-2024-006</t>
  </si>
  <si>
    <t xml:space="preserve">C-2024-007</t>
  </si>
  <si>
    <t xml:space="preserve">C-2024-008</t>
  </si>
  <si>
    <t xml:space="preserve">C-2024-009</t>
  </si>
  <si>
    <t xml:space="preserve">C-2024-010</t>
  </si>
  <si>
    <t xml:space="preserve">C-2024-011</t>
  </si>
  <si>
    <t xml:space="preserve">C-2024-012</t>
  </si>
  <si>
    <t xml:space="preserve">C-2024-013</t>
  </si>
  <si>
    <t xml:space="preserve">C-2024-014</t>
  </si>
  <si>
    <t xml:space="preserve">C-2024-015</t>
  </si>
  <si>
    <t xml:space="preserve">ANALYSE COMPARATIVE DES 3 SCÉNARIOS</t>
  </si>
  <si>
    <t xml:space="preserve">Prime HT Avant</t>
  </si>
  <si>
    <t xml:space="preserve">Scénario 1: +4% Flat</t>
  </si>
  <si>
    <t xml:space="preserve">Écart vs Avant (4%)</t>
  </si>
  <si>
    <t xml:space="preserve">Scénario 2: Majo Yasmine</t>
  </si>
  <si>
    <t xml:space="preserve">Écart vs Avant (Yasmine)</t>
  </si>
  <si>
    <t xml:space="preserve">Scénario 3: IT Test</t>
  </si>
  <si>
    <t xml:space="preserve">Écart vs Avant (IT)</t>
  </si>
  <si>
    <t xml:space="preserve">Delta Yasmine vs 4%</t>
  </si>
  <si>
    <t xml:space="preserve">Delta IT vs 4%</t>
  </si>
  <si>
    <t xml:space="preserve">Segment</t>
  </si>
  <si>
    <t xml:space="preserve">TOTAL</t>
  </si>
  <si>
    <t xml:space="preserve">MOYENNE</t>
  </si>
  <si>
    <t xml:space="preserve">% Variation Totale</t>
  </si>
  <si>
    <t xml:space="preserve">STATISTIQUES PAR SEGMENT DE SINISTRALITÉ</t>
  </si>
  <si>
    <t xml:space="preserve">Nb Contrats</t>
  </si>
  <si>
    <t xml:space="preserve">Prime HT Moy Avant</t>
  </si>
  <si>
    <t xml:space="preserve">Majo Moy Yasmine</t>
  </si>
  <si>
    <t xml:space="preserve">Prime Moy +4%</t>
  </si>
  <si>
    <t xml:space="preserve">Prime Moy Yasmine</t>
  </si>
  <si>
    <t xml:space="preserve">Prime Moy IT</t>
  </si>
  <si>
    <t xml:space="preserve">Perte/Gain vs 4% (Yasmine)</t>
  </si>
  <si>
    <t xml:space="preserve">Perte/Gain vs 4% (IT)</t>
  </si>
  <si>
    <t xml:space="preserve">RÉSUMÉ GLOBAL</t>
  </si>
  <si>
    <t xml:space="preserve">Total Prime HT Avant (portefeuille)</t>
  </si>
  <si>
    <t xml:space="preserve">Total Prime HT avec +4% Flat</t>
  </si>
  <si>
    <t xml:space="preserve">Total Prime HT avec Majo Yasmine</t>
  </si>
  <si>
    <t xml:space="preserve">Total Prime HT avec Majo IT</t>
  </si>
  <si>
    <t xml:space="preserve">Écart Total: Yasmine vs 4%</t>
  </si>
  <si>
    <t xml:space="preserve">Écart Total: IT vs 4%</t>
  </si>
  <si>
    <t xml:space="preserve">Écart Total: Yasmine vs IT</t>
  </si>
  <si>
    <t xml:space="preserve">DASHBOARD - IMPACT ANALYSE DES MAJORATIONS</t>
  </si>
  <si>
    <t xml:space="preserve">Scénario +4%</t>
  </si>
  <si>
    <t xml:space="preserve">Scénario Yasmine</t>
  </si>
  <si>
    <t xml:space="preserve">Scénario IT</t>
  </si>
  <si>
    <t xml:space="preserve">Écart Yasmine vs 4%</t>
  </si>
  <si>
    <t xml:space="preserve">Écart IT vs 4%</t>
  </si>
  <si>
    <t xml:space="preserve">Majo Yasmine</t>
  </si>
  <si>
    <t xml:space="preserve">Majo IT</t>
  </si>
  <si>
    <t xml:space="preserve">Flat 4%</t>
  </si>
  <si>
    <t xml:space="preserve">NOTE MÉTHODOLOGIQUE</t>
  </si>
  <si>
    <t xml:space="preserve">Objectif</t>
  </si>
  <si>
    <t xml:space="preserve">Comparer l'impact financier de 3 stratégies de majoration sur les contrats non-terme.</t>
  </si>
  <si>
    <t xml:space="preserve">Scénario 1 - Flat +4%</t>
  </si>
  <si>
    <t xml:space="preserve">Application uniforme de +4% sur la Prime HT Avant Terme. C'est la contrainte système IT.</t>
  </si>
  <si>
    <t xml:space="preserve">Scénario 2 - Majoration Yasmine</t>
  </si>
  <si>
    <t xml:space="preserve">Application des majorations personnalisées par contrat selon l'analyse du CT et du segment sinistralité.</t>
  </si>
  <si>
    <t xml:space="preserve">Scénario 3 - IT Test</t>
  </si>
  <si>
    <t xml:space="preserve">Résultat du passage en test IT avec scoring sinistre intégré (4% de base + scoring pour sinistralité élevée).</t>
  </si>
  <si>
    <t xml:space="preserve">CT (Coefficient Tarifaire)</t>
  </si>
  <si>
    <t xml:space="preserve">Rapport entre Prime Portefeuille et Prime Affaire Nouvelle. CT &gt; 1 = sous-tarifé, CT &lt; 1 = sur-tarifé.</t>
  </si>
  <si>
    <t xml:space="preserve">Segments Sinistralité</t>
  </si>
  <si>
    <t xml:space="preserve">Très bon / Bon / Moyen / Mauvais / Très mauvais - basés sur le ratio sinistres/primes.</t>
  </si>
  <si>
    <t xml:space="preserve">Interprétation Écarts</t>
  </si>
  <si>
    <t xml:space="preserve">Écart positif (Yasmine vs 4%) = gain de prime supérieur avec majoration Yasmine. Écart négatif = perte de prime.</t>
  </si>
  <si>
    <t xml:space="preserve">Instructions</t>
  </si>
  <si>
    <t xml:space="preserve">Remplacer les données exemples dans l'onglet 'Données' par vos vraies données. Tous les calculs se mettent à jour automatiquement.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</si>
</sst>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"/>
    <numFmt numFmtId="167" formatCode="#,##0.00&quot; €&quot;"/>
    <numFmt numFmtId="168" formatCode="#,##0.00&quot; €&quot;;\(#,##0.00&quot;) €&quot;;\-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b val="true"/>
      <sz val="11"/>
      <color rgb="FF2E509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Prime HT Moyenne par Segment &amp; Scénario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Scénario +4%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Très bon</c:v>
                </c:pt>
                <c:pt idx="1">
                  <c:v>Bon</c:v>
                </c:pt>
                <c:pt idx="2">
                  <c:v>Moyen</c:v>
                </c:pt>
                <c:pt idx="3">
                  <c:v>Mauvais</c:v>
                </c:pt>
                <c:pt idx="4">
                  <c:v>Très mauvais</c:v>
                </c:pt>
              </c:strCache>
            </c:strRef>
          </c:cat>
          <c:val>
            <c:numRef>
              <c:f>Dashboard!$B$4:$B$8</c:f>
              <c:numCache>
                <c:formatCode>#,##0.00" €"</c:formatCode>
                <c:ptCount val="5"/>
                <c:pt idx="0">
                  <c:v>575.466666666667</c:v>
                </c:pt>
                <c:pt idx="1">
                  <c:v>783.466666666667</c:v>
                </c:pt>
                <c:pt idx="2">
                  <c:v>1012.26666666667</c:v>
                </c:pt>
                <c:pt idx="3">
                  <c:v>1265.33333333333</c:v>
                </c:pt>
                <c:pt idx="4">
                  <c:v>1716</c:v>
                </c:pt>
              </c:numCache>
            </c:numRef>
          </c:val>
        </c:ser>
        <c:ser>
          <c:idx val="1"/>
          <c:order val="1"/>
          <c:tx>
            <c:strRef>
              <c:f>Dashboard!C3</c:f>
              <c:strCache>
                <c:ptCount val="1"/>
                <c:pt idx="0">
                  <c:v>Scénario Yasmine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Très bon</c:v>
                </c:pt>
                <c:pt idx="1">
                  <c:v>Bon</c:v>
                </c:pt>
                <c:pt idx="2">
                  <c:v>Moyen</c:v>
                </c:pt>
                <c:pt idx="3">
                  <c:v>Mauvais</c:v>
                </c:pt>
                <c:pt idx="4">
                  <c:v>Très mauvais</c:v>
                </c:pt>
              </c:strCache>
            </c:strRef>
          </c:cat>
          <c:val>
            <c:numRef>
              <c:f>Dashboard!$C$4:$C$8</c:f>
              <c:numCache>
                <c:formatCode>#,##0.00" €"</c:formatCode>
                <c:ptCount val="5"/>
                <c:pt idx="0">
                  <c:v>538.8</c:v>
                </c:pt>
                <c:pt idx="1">
                  <c:v>797.233333333333</c:v>
                </c:pt>
                <c:pt idx="2">
                  <c:v>1061.76666666667</c:v>
                </c:pt>
                <c:pt idx="3">
                  <c:v>1375.33333333333</c:v>
                </c:pt>
                <c:pt idx="4">
                  <c:v>1944</c:v>
                </c:pt>
              </c:numCache>
            </c:numRef>
          </c:val>
        </c:ser>
        <c:ser>
          <c:idx val="2"/>
          <c:order val="2"/>
          <c:tx>
            <c:strRef>
              <c:f>Dashboard!D3</c:f>
              <c:strCache>
                <c:ptCount val="1"/>
                <c:pt idx="0">
                  <c:v>Scénario IT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Très bon</c:v>
                </c:pt>
                <c:pt idx="1">
                  <c:v>Bon</c:v>
                </c:pt>
                <c:pt idx="2">
                  <c:v>Moyen</c:v>
                </c:pt>
                <c:pt idx="3">
                  <c:v>Mauvais</c:v>
                </c:pt>
                <c:pt idx="4">
                  <c:v>Très mauvais</c:v>
                </c:pt>
              </c:strCache>
            </c:strRef>
          </c:cat>
          <c:val>
            <c:numRef>
              <c:f>Dashboard!$D$4:$D$8</c:f>
              <c:numCache>
                <c:formatCode>#,##0.00" €"</c:formatCode>
                <c:ptCount val="5"/>
                <c:pt idx="0">
                  <c:v>575.466666666667</c:v>
                </c:pt>
                <c:pt idx="1">
                  <c:v>783.466666666667</c:v>
                </c:pt>
                <c:pt idx="2">
                  <c:v>1012.26666666667</c:v>
                </c:pt>
                <c:pt idx="3">
                  <c:v>1314</c:v>
                </c:pt>
                <c:pt idx="4">
                  <c:v>1782</c:v>
                </c:pt>
              </c:numCache>
            </c:numRef>
          </c:val>
        </c:ser>
        <c:gapWidth val="150"/>
        <c:overlap val="0"/>
        <c:axId val="4550248"/>
        <c:axId val="22442686"/>
      </c:barChart>
      <c:catAx>
        <c:axId val="4550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 Sinistralité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42686"/>
        <c:crosses val="autoZero"/>
        <c:auto val="1"/>
        <c:lblAlgn val="ctr"/>
        <c:lblOffset val="100"/>
        <c:noMultiLvlLbl val="0"/>
      </c:catAx>
      <c:valAx>
        <c:axId val="22442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Prime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0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Écart par Contrat: Yasmine vs IT (par rapport au +4% Flat)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Écart Yasmine vs 4%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Dashboard!$A$11:$A$25</c:f>
              <c:strCache>
                <c:ptCount val="15"/>
                <c:pt idx="0">
                  <c:v>C-2024-001</c:v>
                </c:pt>
                <c:pt idx="1">
                  <c:v>C-2024-002</c:v>
                </c:pt>
                <c:pt idx="2">
                  <c:v>C-2024-003</c:v>
                </c:pt>
                <c:pt idx="3">
                  <c:v>C-2024-004</c:v>
                </c:pt>
                <c:pt idx="4">
                  <c:v>C-2024-005</c:v>
                </c:pt>
                <c:pt idx="5">
                  <c:v>C-2024-006</c:v>
                </c:pt>
                <c:pt idx="6">
                  <c:v>C-2024-007</c:v>
                </c:pt>
                <c:pt idx="7">
                  <c:v>C-2024-008</c:v>
                </c:pt>
                <c:pt idx="8">
                  <c:v>C-2024-009</c:v>
                </c:pt>
                <c:pt idx="9">
                  <c:v>C-2024-010</c:v>
                </c:pt>
                <c:pt idx="10">
                  <c:v>C-2024-011</c:v>
                </c:pt>
                <c:pt idx="11">
                  <c:v>C-2024-012</c:v>
                </c:pt>
                <c:pt idx="12">
                  <c:v>C-2024-013</c:v>
                </c:pt>
                <c:pt idx="13">
                  <c:v>C-2024-014</c:v>
                </c:pt>
                <c:pt idx="14">
                  <c:v>C-2024-015</c:v>
                </c:pt>
              </c:strCache>
            </c:strRef>
          </c:cat>
          <c:val>
            <c:numRef>
              <c:f>Dashboard!$B$11:$B$25</c:f>
              <c:numCache>
                <c:formatCode>#,##0.00" €";\(#,##0.00") €";\-</c:formatCode>
                <c:ptCount val="15"/>
                <c:pt idx="0">
                  <c:v>34</c:v>
                </c:pt>
                <c:pt idx="1">
                  <c:v>96</c:v>
                </c:pt>
                <c:pt idx="2">
                  <c:v>-43.4000000000001</c:v>
                </c:pt>
                <c:pt idx="3">
                  <c:v>58.8</c:v>
                </c:pt>
                <c:pt idx="4">
                  <c:v>165</c:v>
                </c:pt>
                <c:pt idx="5">
                  <c:v>7.29999999999995</c:v>
                </c:pt>
                <c:pt idx="6">
                  <c:v>99</c:v>
                </c:pt>
                <c:pt idx="7">
                  <c:v>-21.6</c:v>
                </c:pt>
                <c:pt idx="8">
                  <c:v>26.6999999999999</c:v>
                </c:pt>
                <c:pt idx="9">
                  <c:v>231</c:v>
                </c:pt>
                <c:pt idx="10">
                  <c:v>0</c:v>
                </c:pt>
                <c:pt idx="11">
                  <c:v>63</c:v>
                </c:pt>
                <c:pt idx="12">
                  <c:v>-45</c:v>
                </c:pt>
                <c:pt idx="13">
                  <c:v>135</c:v>
                </c:pt>
                <c:pt idx="14">
                  <c:v>288</c:v>
                </c:pt>
              </c:numCache>
            </c:numRef>
          </c:val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Écart IT vs 4%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Dashboard!$A$11:$A$25</c:f>
              <c:strCache>
                <c:ptCount val="15"/>
                <c:pt idx="0">
                  <c:v>C-2024-001</c:v>
                </c:pt>
                <c:pt idx="1">
                  <c:v>C-2024-002</c:v>
                </c:pt>
                <c:pt idx="2">
                  <c:v>C-2024-003</c:v>
                </c:pt>
                <c:pt idx="3">
                  <c:v>C-2024-004</c:v>
                </c:pt>
                <c:pt idx="4">
                  <c:v>C-2024-005</c:v>
                </c:pt>
                <c:pt idx="5">
                  <c:v>C-2024-006</c:v>
                </c:pt>
                <c:pt idx="6">
                  <c:v>C-2024-007</c:v>
                </c:pt>
                <c:pt idx="7">
                  <c:v>C-2024-008</c:v>
                </c:pt>
                <c:pt idx="8">
                  <c:v>C-2024-009</c:v>
                </c:pt>
                <c:pt idx="9">
                  <c:v>C-2024-010</c:v>
                </c:pt>
                <c:pt idx="10">
                  <c:v>C-2024-011</c:v>
                </c:pt>
                <c:pt idx="11">
                  <c:v>C-2024-012</c:v>
                </c:pt>
                <c:pt idx="12">
                  <c:v>C-2024-013</c:v>
                </c:pt>
                <c:pt idx="13">
                  <c:v>C-2024-014</c:v>
                </c:pt>
                <c:pt idx="14">
                  <c:v>C-2024-015</c:v>
                </c:pt>
              </c:strCache>
            </c:strRef>
          </c:cat>
          <c:val>
            <c:numRef>
              <c:f>Dashboard!$C$11:$C$25</c:f>
              <c:numCache>
                <c:formatCode>#,##0.00" €";\(#,##0.00") €";\-</c:formatCode>
                <c:ptCount val="15"/>
                <c:pt idx="0">
                  <c:v>0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44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54</c:v>
                </c:pt>
                <c:pt idx="14">
                  <c:v>72</c:v>
                </c:pt>
              </c:numCache>
            </c:numRef>
          </c:val>
        </c:ser>
        <c:gapWidth val="150"/>
        <c:overlap val="0"/>
        <c:axId val="50028701"/>
        <c:axId val="94753527"/>
      </c:barChart>
      <c:catAx>
        <c:axId val="50028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53527"/>
        <c:crosses val="autoZero"/>
        <c:auto val="1"/>
        <c:lblAlgn val="ctr"/>
        <c:lblOffset val="100"/>
        <c:noMultiLvlLbl val="0"/>
      </c:catAx>
      <c:valAx>
        <c:axId val="94753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Écart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(#,##0.00&quot;)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287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Comparaison des Taux de Majoration par Contrat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Majo Yasmine</c:v>
                </c:pt>
              </c:strCache>
            </c:strRef>
          </c:tx>
          <c:spPr>
            <a:solidFill>
              <a:srgbClr val="27ae60"/>
            </a:solidFill>
            <a:ln w="2484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Dashboard!$A$28:$A$42</c:f>
              <c:strCache>
                <c:ptCount val="15"/>
                <c:pt idx="0">
                  <c:v>C-2024-001</c:v>
                </c:pt>
                <c:pt idx="1">
                  <c:v>C-2024-002</c:v>
                </c:pt>
                <c:pt idx="2">
                  <c:v>C-2024-003</c:v>
                </c:pt>
                <c:pt idx="3">
                  <c:v>C-2024-004</c:v>
                </c:pt>
                <c:pt idx="4">
                  <c:v>C-2024-005</c:v>
                </c:pt>
                <c:pt idx="5">
                  <c:v>C-2024-006</c:v>
                </c:pt>
                <c:pt idx="6">
                  <c:v>C-2024-007</c:v>
                </c:pt>
                <c:pt idx="7">
                  <c:v>C-2024-008</c:v>
                </c:pt>
                <c:pt idx="8">
                  <c:v>C-2024-009</c:v>
                </c:pt>
                <c:pt idx="9">
                  <c:v>C-2024-010</c:v>
                </c:pt>
                <c:pt idx="10">
                  <c:v>C-2024-011</c:v>
                </c:pt>
                <c:pt idx="11">
                  <c:v>C-2024-012</c:v>
                </c:pt>
                <c:pt idx="12">
                  <c:v>C-2024-013</c:v>
                </c:pt>
                <c:pt idx="13">
                  <c:v>C-2024-014</c:v>
                </c:pt>
                <c:pt idx="14">
                  <c:v>C-2024-015</c:v>
                </c:pt>
              </c:strCache>
            </c:strRef>
          </c:cat>
          <c:val>
            <c:numRef>
              <c:f>Dashboard!$B$28:$B$42</c:f>
              <c:numCache>
                <c:formatCode>0.0%</c:formatCode>
                <c:ptCount val="15"/>
                <c:pt idx="0">
                  <c:v>0.08</c:v>
                </c:pt>
                <c:pt idx="1">
                  <c:v>0.12</c:v>
                </c:pt>
                <c:pt idx="2">
                  <c:v>-0.03</c:v>
                </c:pt>
                <c:pt idx="3">
                  <c:v>0.1</c:v>
                </c:pt>
                <c:pt idx="4">
                  <c:v>0.15</c:v>
                </c:pt>
                <c:pt idx="5">
                  <c:v>0.05</c:v>
                </c:pt>
                <c:pt idx="6">
                  <c:v>0.13</c:v>
                </c:pt>
                <c:pt idx="7">
                  <c:v>0</c:v>
                </c:pt>
                <c:pt idx="8">
                  <c:v>0.07</c:v>
                </c:pt>
                <c:pt idx="9">
                  <c:v>0.18</c:v>
                </c:pt>
                <c:pt idx="10">
                  <c:v>0.04</c:v>
                </c:pt>
                <c:pt idx="11">
                  <c:v>0.1</c:v>
                </c:pt>
                <c:pt idx="12">
                  <c:v>-0.05</c:v>
                </c:pt>
                <c:pt idx="13">
                  <c:v>0.14</c:v>
                </c:pt>
                <c:pt idx="14">
                  <c:v>0.2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Dashboard!C27</c:f>
              <c:strCache>
                <c:ptCount val="1"/>
                <c:pt idx="0">
                  <c:v>Majo IT</c:v>
                </c:pt>
              </c:strCache>
            </c:strRef>
          </c:tx>
          <c:spPr>
            <a:solidFill>
              <a:srgbClr val="f39c12"/>
            </a:solidFill>
            <a:ln w="24840">
              <a:solidFill>
                <a:srgbClr val="f39c1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Dashboard!$A$28:$A$42</c:f>
              <c:strCache>
                <c:ptCount val="15"/>
                <c:pt idx="0">
                  <c:v>C-2024-001</c:v>
                </c:pt>
                <c:pt idx="1">
                  <c:v>C-2024-002</c:v>
                </c:pt>
                <c:pt idx="2">
                  <c:v>C-2024-003</c:v>
                </c:pt>
                <c:pt idx="3">
                  <c:v>C-2024-004</c:v>
                </c:pt>
                <c:pt idx="4">
                  <c:v>C-2024-005</c:v>
                </c:pt>
                <c:pt idx="5">
                  <c:v>C-2024-006</c:v>
                </c:pt>
                <c:pt idx="6">
                  <c:v>C-2024-007</c:v>
                </c:pt>
                <c:pt idx="7">
                  <c:v>C-2024-008</c:v>
                </c:pt>
                <c:pt idx="8">
                  <c:v>C-2024-009</c:v>
                </c:pt>
                <c:pt idx="9">
                  <c:v>C-2024-010</c:v>
                </c:pt>
                <c:pt idx="10">
                  <c:v>C-2024-011</c:v>
                </c:pt>
                <c:pt idx="11">
                  <c:v>C-2024-012</c:v>
                </c:pt>
                <c:pt idx="12">
                  <c:v>C-2024-013</c:v>
                </c:pt>
                <c:pt idx="13">
                  <c:v>C-2024-014</c:v>
                </c:pt>
                <c:pt idx="14">
                  <c:v>C-2024-015</c:v>
                </c:pt>
              </c:strCache>
            </c:strRef>
          </c:cat>
          <c:val>
            <c:numRef>
              <c:f>Dashboard!$C$28:$C$42</c:f>
              <c:numCache>
                <c:formatCode>0.0%</c:formatCode>
                <c:ptCount val="15"/>
                <c:pt idx="0">
                  <c:v>0.04</c:v>
                </c:pt>
                <c:pt idx="1">
                  <c:v>0.08</c:v>
                </c:pt>
                <c:pt idx="2">
                  <c:v>0.04</c:v>
                </c:pt>
                <c:pt idx="3">
                  <c:v>0.04</c:v>
                </c:pt>
                <c:pt idx="4">
                  <c:v>0.08</c:v>
                </c:pt>
                <c:pt idx="5">
                  <c:v>0.04</c:v>
                </c:pt>
                <c:pt idx="6">
                  <c:v>0.08</c:v>
                </c:pt>
                <c:pt idx="7">
                  <c:v>0.04</c:v>
                </c:pt>
                <c:pt idx="8">
                  <c:v>0.04</c:v>
                </c:pt>
                <c:pt idx="9">
                  <c:v>0.08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0.08</c:v>
                </c:pt>
                <c:pt idx="14">
                  <c:v>0.08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Dashboard!D27</c:f>
              <c:strCache>
                <c:ptCount val="1"/>
                <c:pt idx="0">
                  <c:v>Flat 4%</c:v>
                </c:pt>
              </c:strCache>
            </c:strRef>
          </c:tx>
          <c:spPr>
            <a:solidFill>
              <a:srgbClr val="e74c3c"/>
            </a:solidFill>
            <a:ln w="24840">
              <a:solidFill>
                <a:srgbClr val="e74c3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Dashboard!$A$28:$A$42</c:f>
              <c:strCache>
                <c:ptCount val="15"/>
                <c:pt idx="0">
                  <c:v>C-2024-001</c:v>
                </c:pt>
                <c:pt idx="1">
                  <c:v>C-2024-002</c:v>
                </c:pt>
                <c:pt idx="2">
                  <c:v>C-2024-003</c:v>
                </c:pt>
                <c:pt idx="3">
                  <c:v>C-2024-004</c:v>
                </c:pt>
                <c:pt idx="4">
                  <c:v>C-2024-005</c:v>
                </c:pt>
                <c:pt idx="5">
                  <c:v>C-2024-006</c:v>
                </c:pt>
                <c:pt idx="6">
                  <c:v>C-2024-007</c:v>
                </c:pt>
                <c:pt idx="7">
                  <c:v>C-2024-008</c:v>
                </c:pt>
                <c:pt idx="8">
                  <c:v>C-2024-009</c:v>
                </c:pt>
                <c:pt idx="9">
                  <c:v>C-2024-010</c:v>
                </c:pt>
                <c:pt idx="10">
                  <c:v>C-2024-011</c:v>
                </c:pt>
                <c:pt idx="11">
                  <c:v>C-2024-012</c:v>
                </c:pt>
                <c:pt idx="12">
                  <c:v>C-2024-013</c:v>
                </c:pt>
                <c:pt idx="13">
                  <c:v>C-2024-014</c:v>
                </c:pt>
                <c:pt idx="14">
                  <c:v>C-2024-015</c:v>
                </c:pt>
              </c:strCache>
            </c:strRef>
          </c:cat>
          <c:val>
            <c:numRef>
              <c:f>Dashboard!$D$28:$D$42</c:f>
              <c:numCache>
                <c:formatCode>General</c:formatCode>
                <c:ptCount val="15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856618"/>
        <c:axId val="5834283"/>
      </c:lineChart>
      <c:catAx>
        <c:axId val="17856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4283"/>
        <c:crosses val="autoZero"/>
        <c:auto val="1"/>
        <c:lblAlgn val="ctr"/>
        <c:lblOffset val="100"/>
        <c:noMultiLvlLbl val="0"/>
      </c:catAx>
      <c:valAx>
        <c:axId val="5834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Majoration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56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12</xdr:col>
      <xdr:colOff>25200</xdr:colOff>
      <xdr:row>28</xdr:row>
      <xdr:rowOff>27000</xdr:rowOff>
    </xdr:to>
    <xdr:graphicFrame>
      <xdr:nvGraphicFramePr>
        <xdr:cNvPr id="0" name="Chart 1"/>
        <xdr:cNvGraphicFramePr/>
      </xdr:nvGraphicFramePr>
      <xdr:xfrm>
        <a:off x="5638680" y="380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130680</xdr:rowOff>
    </xdr:from>
    <xdr:to>
      <xdr:col>12</xdr:col>
      <xdr:colOff>25200</xdr:colOff>
      <xdr:row>45</xdr:row>
      <xdr:rowOff>27000</xdr:rowOff>
    </xdr:to>
    <xdr:graphicFrame>
      <xdr:nvGraphicFramePr>
        <xdr:cNvPr id="1" name="Chart 2"/>
        <xdr:cNvGraphicFramePr/>
      </xdr:nvGraphicFramePr>
      <xdr:xfrm>
        <a:off x="5638680" y="3619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35</xdr:row>
      <xdr:rowOff>130680</xdr:rowOff>
    </xdr:from>
    <xdr:to>
      <xdr:col>12</xdr:col>
      <xdr:colOff>25200</xdr:colOff>
      <xdr:row>62</xdr:row>
      <xdr:rowOff>27000</xdr:rowOff>
    </xdr:to>
    <xdr:graphicFrame>
      <xdr:nvGraphicFramePr>
        <xdr:cNvPr id="2" name="Chart 3"/>
        <xdr:cNvGraphicFramePr/>
      </xdr:nvGraphicFramePr>
      <xdr:xfrm>
        <a:off x="5638680" y="6858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8" min="4" style="0" width="2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4" t="n">
        <v>1.15</v>
      </c>
      <c r="C3" s="5" t="n">
        <v>0.08</v>
      </c>
      <c r="D3" s="6" t="n">
        <v>850</v>
      </c>
      <c r="E3" s="6" t="n">
        <v>918</v>
      </c>
      <c r="F3" s="6" t="n">
        <v>1020</v>
      </c>
      <c r="G3" s="6" t="n">
        <v>1101.6</v>
      </c>
      <c r="H3" s="3" t="s">
        <v>14</v>
      </c>
      <c r="I3" s="3" t="s">
        <v>15</v>
      </c>
      <c r="J3" s="6" t="n">
        <v>884</v>
      </c>
      <c r="K3" s="5" t="n">
        <v>0.04</v>
      </c>
      <c r="L3" s="4" t="n">
        <v>1.04</v>
      </c>
    </row>
    <row r="4" customFormat="false" ht="15" hidden="false" customHeight="false" outlineLevel="0" collapsed="false">
      <c r="A4" s="7" t="s">
        <v>16</v>
      </c>
      <c r="B4" s="8" t="n">
        <v>1.35</v>
      </c>
      <c r="C4" s="9" t="n">
        <v>0.12</v>
      </c>
      <c r="D4" s="10" t="n">
        <v>1200</v>
      </c>
      <c r="E4" s="10" t="n">
        <v>1344</v>
      </c>
      <c r="F4" s="10" t="n">
        <v>1440</v>
      </c>
      <c r="G4" s="10" t="n">
        <v>1612.8</v>
      </c>
      <c r="H4" s="7" t="s">
        <v>17</v>
      </c>
      <c r="I4" s="7" t="s">
        <v>15</v>
      </c>
      <c r="J4" s="10" t="n">
        <v>1296</v>
      </c>
      <c r="K4" s="9" t="n">
        <v>0.08</v>
      </c>
      <c r="L4" s="8" t="n">
        <v>1.08</v>
      </c>
    </row>
    <row r="5" customFormat="false" ht="15" hidden="false" customHeight="false" outlineLevel="0" collapsed="false">
      <c r="A5" s="3" t="s">
        <v>18</v>
      </c>
      <c r="B5" s="4" t="n">
        <v>0.95</v>
      </c>
      <c r="C5" s="5" t="n">
        <v>-0.03</v>
      </c>
      <c r="D5" s="6" t="n">
        <v>620</v>
      </c>
      <c r="E5" s="6" t="n">
        <v>601.4</v>
      </c>
      <c r="F5" s="6" t="n">
        <v>744</v>
      </c>
      <c r="G5" s="6" t="n">
        <v>721.68</v>
      </c>
      <c r="H5" s="3" t="s">
        <v>19</v>
      </c>
      <c r="I5" s="3" t="s">
        <v>15</v>
      </c>
      <c r="J5" s="6" t="n">
        <v>644.8</v>
      </c>
      <c r="K5" s="5" t="n">
        <v>0.04</v>
      </c>
      <c r="L5" s="4" t="n">
        <v>1.04</v>
      </c>
    </row>
    <row r="6" customFormat="false" ht="15" hidden="false" customHeight="false" outlineLevel="0" collapsed="false">
      <c r="A6" s="7" t="s">
        <v>20</v>
      </c>
      <c r="B6" s="8" t="n">
        <v>1.22</v>
      </c>
      <c r="C6" s="9" t="n">
        <v>0.1</v>
      </c>
      <c r="D6" s="10" t="n">
        <v>980</v>
      </c>
      <c r="E6" s="10" t="n">
        <v>1078</v>
      </c>
      <c r="F6" s="10" t="n">
        <v>1176</v>
      </c>
      <c r="G6" s="10" t="n">
        <v>1293.6</v>
      </c>
      <c r="H6" s="7" t="s">
        <v>21</v>
      </c>
      <c r="I6" s="7" t="s">
        <v>22</v>
      </c>
      <c r="J6" s="10" t="n">
        <v>1019.2</v>
      </c>
      <c r="K6" s="9" t="n">
        <v>0.04</v>
      </c>
      <c r="L6" s="8" t="n">
        <v>1.04</v>
      </c>
    </row>
    <row r="7" customFormat="false" ht="15" hidden="false" customHeight="false" outlineLevel="0" collapsed="false">
      <c r="A7" s="3" t="s">
        <v>23</v>
      </c>
      <c r="B7" s="4" t="n">
        <v>1.5</v>
      </c>
      <c r="C7" s="5" t="n">
        <v>0.15</v>
      </c>
      <c r="D7" s="6" t="n">
        <v>1500</v>
      </c>
      <c r="E7" s="6" t="n">
        <v>1725</v>
      </c>
      <c r="F7" s="6" t="n">
        <v>1800</v>
      </c>
      <c r="G7" s="6" t="n">
        <v>2070</v>
      </c>
      <c r="H7" s="3" t="s">
        <v>24</v>
      </c>
      <c r="I7" s="3" t="s">
        <v>15</v>
      </c>
      <c r="J7" s="6" t="n">
        <v>1620</v>
      </c>
      <c r="K7" s="5" t="n">
        <v>0.08</v>
      </c>
      <c r="L7" s="4" t="n">
        <v>1.08</v>
      </c>
    </row>
    <row r="8" customFormat="false" ht="15" hidden="false" customHeight="false" outlineLevel="0" collapsed="false">
      <c r="A8" s="7" t="s">
        <v>25</v>
      </c>
      <c r="B8" s="8" t="n">
        <v>1.08</v>
      </c>
      <c r="C8" s="9" t="n">
        <v>0.05</v>
      </c>
      <c r="D8" s="10" t="n">
        <v>730</v>
      </c>
      <c r="E8" s="10" t="n">
        <v>766.5</v>
      </c>
      <c r="F8" s="10" t="n">
        <v>876</v>
      </c>
      <c r="G8" s="10" t="n">
        <v>919.8</v>
      </c>
      <c r="H8" s="7" t="s">
        <v>14</v>
      </c>
      <c r="I8" s="7" t="s">
        <v>15</v>
      </c>
      <c r="J8" s="10" t="n">
        <v>759.2</v>
      </c>
      <c r="K8" s="9" t="n">
        <v>0.04</v>
      </c>
      <c r="L8" s="8" t="n">
        <v>1.04</v>
      </c>
    </row>
    <row r="9" customFormat="false" ht="15" hidden="false" customHeight="false" outlineLevel="0" collapsed="false">
      <c r="A9" s="3" t="s">
        <v>26</v>
      </c>
      <c r="B9" s="4" t="n">
        <v>1.42</v>
      </c>
      <c r="C9" s="5" t="n">
        <v>0.13</v>
      </c>
      <c r="D9" s="6" t="n">
        <v>1100</v>
      </c>
      <c r="E9" s="6" t="n">
        <v>1243</v>
      </c>
      <c r="F9" s="6" t="n">
        <v>1320</v>
      </c>
      <c r="G9" s="6" t="n">
        <v>1491.6</v>
      </c>
      <c r="H9" s="3" t="s">
        <v>17</v>
      </c>
      <c r="I9" s="3" t="s">
        <v>22</v>
      </c>
      <c r="J9" s="6" t="n">
        <v>1188</v>
      </c>
      <c r="K9" s="5" t="n">
        <v>0.08</v>
      </c>
      <c r="L9" s="4" t="n">
        <v>1.08</v>
      </c>
    </row>
    <row r="10" customFormat="false" ht="15" hidden="false" customHeight="false" outlineLevel="0" collapsed="false">
      <c r="A10" s="7" t="s">
        <v>27</v>
      </c>
      <c r="B10" s="8" t="n">
        <v>0.9</v>
      </c>
      <c r="C10" s="9" t="n">
        <v>0</v>
      </c>
      <c r="D10" s="10" t="n">
        <v>540</v>
      </c>
      <c r="E10" s="10" t="n">
        <v>540</v>
      </c>
      <c r="F10" s="10" t="n">
        <v>648</v>
      </c>
      <c r="G10" s="10" t="n">
        <v>648</v>
      </c>
      <c r="H10" s="7" t="s">
        <v>19</v>
      </c>
      <c r="I10" s="7" t="s">
        <v>15</v>
      </c>
      <c r="J10" s="10" t="n">
        <v>561.6</v>
      </c>
      <c r="K10" s="9" t="n">
        <v>0.04</v>
      </c>
      <c r="L10" s="8" t="n">
        <v>1.04</v>
      </c>
    </row>
    <row r="11" customFormat="false" ht="15" hidden="false" customHeight="false" outlineLevel="0" collapsed="false">
      <c r="A11" s="3" t="s">
        <v>28</v>
      </c>
      <c r="B11" s="4" t="n">
        <v>1.18</v>
      </c>
      <c r="C11" s="5" t="n">
        <v>0.07</v>
      </c>
      <c r="D11" s="6" t="n">
        <v>890</v>
      </c>
      <c r="E11" s="6" t="n">
        <v>952.3</v>
      </c>
      <c r="F11" s="6" t="n">
        <v>1068</v>
      </c>
      <c r="G11" s="6" t="n">
        <v>1142.76</v>
      </c>
      <c r="H11" s="3" t="s">
        <v>21</v>
      </c>
      <c r="I11" s="3" t="s">
        <v>15</v>
      </c>
      <c r="J11" s="6" t="n">
        <v>925.6</v>
      </c>
      <c r="K11" s="5" t="n">
        <v>0.04</v>
      </c>
      <c r="L11" s="4" t="n">
        <v>1.04</v>
      </c>
    </row>
    <row r="12" customFormat="false" ht="15" hidden="false" customHeight="false" outlineLevel="0" collapsed="false">
      <c r="A12" s="7" t="s">
        <v>29</v>
      </c>
      <c r="B12" s="8" t="n">
        <v>1.55</v>
      </c>
      <c r="C12" s="9" t="n">
        <v>0.18</v>
      </c>
      <c r="D12" s="10" t="n">
        <v>1650</v>
      </c>
      <c r="E12" s="10" t="n">
        <v>1947</v>
      </c>
      <c r="F12" s="10" t="n">
        <v>1980</v>
      </c>
      <c r="G12" s="10" t="n">
        <v>2336.4</v>
      </c>
      <c r="H12" s="7" t="s">
        <v>24</v>
      </c>
      <c r="I12" s="7" t="s">
        <v>15</v>
      </c>
      <c r="J12" s="10" t="n">
        <v>1782</v>
      </c>
      <c r="K12" s="9" t="n">
        <v>0.08</v>
      </c>
      <c r="L12" s="8" t="n">
        <v>1.08</v>
      </c>
    </row>
    <row r="13" customFormat="false" ht="15" hidden="false" customHeight="false" outlineLevel="0" collapsed="false">
      <c r="A13" s="3" t="s">
        <v>30</v>
      </c>
      <c r="B13" s="4" t="n">
        <v>1.02</v>
      </c>
      <c r="C13" s="5" t="n">
        <v>0.04</v>
      </c>
      <c r="D13" s="6" t="n">
        <v>680</v>
      </c>
      <c r="E13" s="6" t="n">
        <v>707.2</v>
      </c>
      <c r="F13" s="6" t="n">
        <v>816</v>
      </c>
      <c r="G13" s="6" t="n">
        <v>848.64</v>
      </c>
      <c r="H13" s="3" t="s">
        <v>14</v>
      </c>
      <c r="I13" s="3" t="s">
        <v>15</v>
      </c>
      <c r="J13" s="6" t="n">
        <v>707.2</v>
      </c>
      <c r="K13" s="5" t="n">
        <v>0.04</v>
      </c>
      <c r="L13" s="4" t="n">
        <v>1.04</v>
      </c>
    </row>
    <row r="14" customFormat="false" ht="15" hidden="false" customHeight="false" outlineLevel="0" collapsed="false">
      <c r="A14" s="7" t="s">
        <v>31</v>
      </c>
      <c r="B14" s="8" t="n">
        <v>1.3</v>
      </c>
      <c r="C14" s="9" t="n">
        <v>0.1</v>
      </c>
      <c r="D14" s="10" t="n">
        <v>1050</v>
      </c>
      <c r="E14" s="10" t="n">
        <v>1155</v>
      </c>
      <c r="F14" s="10" t="n">
        <v>1260</v>
      </c>
      <c r="G14" s="10" t="n">
        <v>1386</v>
      </c>
      <c r="H14" s="7" t="s">
        <v>21</v>
      </c>
      <c r="I14" s="7" t="s">
        <v>22</v>
      </c>
      <c r="J14" s="10" t="n">
        <v>1092</v>
      </c>
      <c r="K14" s="9" t="n">
        <v>0.04</v>
      </c>
      <c r="L14" s="8" t="n">
        <v>1.04</v>
      </c>
    </row>
    <row r="15" customFormat="false" ht="15" hidden="false" customHeight="false" outlineLevel="0" collapsed="false">
      <c r="A15" s="3" t="s">
        <v>32</v>
      </c>
      <c r="B15" s="4" t="n">
        <v>0.88</v>
      </c>
      <c r="C15" s="5" t="n">
        <v>-0.05</v>
      </c>
      <c r="D15" s="6" t="n">
        <v>500</v>
      </c>
      <c r="E15" s="6" t="n">
        <v>475</v>
      </c>
      <c r="F15" s="6" t="n">
        <v>600</v>
      </c>
      <c r="G15" s="6" t="n">
        <v>570</v>
      </c>
      <c r="H15" s="3" t="s">
        <v>19</v>
      </c>
      <c r="I15" s="3" t="s">
        <v>15</v>
      </c>
      <c r="J15" s="6" t="n">
        <v>520</v>
      </c>
      <c r="K15" s="5" t="n">
        <v>0.04</v>
      </c>
      <c r="L15" s="4" t="n">
        <v>1.04</v>
      </c>
    </row>
    <row r="16" customFormat="false" ht="15" hidden="false" customHeight="false" outlineLevel="0" collapsed="false">
      <c r="A16" s="7" t="s">
        <v>33</v>
      </c>
      <c r="B16" s="8" t="n">
        <v>1.45</v>
      </c>
      <c r="C16" s="9" t="n">
        <v>0.14</v>
      </c>
      <c r="D16" s="10" t="n">
        <v>1350</v>
      </c>
      <c r="E16" s="10" t="n">
        <v>1539</v>
      </c>
      <c r="F16" s="10" t="n">
        <v>1620</v>
      </c>
      <c r="G16" s="10" t="n">
        <v>1846.8</v>
      </c>
      <c r="H16" s="7" t="s">
        <v>17</v>
      </c>
      <c r="I16" s="7" t="s">
        <v>15</v>
      </c>
      <c r="J16" s="10" t="n">
        <v>1458</v>
      </c>
      <c r="K16" s="9" t="n">
        <v>0.08</v>
      </c>
      <c r="L16" s="8" t="n">
        <v>1.08</v>
      </c>
    </row>
    <row r="17" customFormat="false" ht="15" hidden="false" customHeight="false" outlineLevel="0" collapsed="false">
      <c r="A17" s="3" t="s">
        <v>34</v>
      </c>
      <c r="B17" s="4" t="n">
        <v>1.6</v>
      </c>
      <c r="C17" s="5" t="n">
        <v>0.2</v>
      </c>
      <c r="D17" s="6" t="n">
        <v>1800</v>
      </c>
      <c r="E17" s="6" t="n">
        <v>2160</v>
      </c>
      <c r="F17" s="6" t="n">
        <v>2160</v>
      </c>
      <c r="G17" s="6" t="n">
        <v>2592</v>
      </c>
      <c r="H17" s="3" t="s">
        <v>24</v>
      </c>
      <c r="I17" s="3" t="s">
        <v>15</v>
      </c>
      <c r="J17" s="6" t="n">
        <v>1944</v>
      </c>
      <c r="K17" s="5" t="n">
        <v>0.08</v>
      </c>
      <c r="L17" s="4" t="n">
        <v>1.08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6" min="5" style="0" width="20"/>
    <col collapsed="false" customWidth="true" hidden="false" outlineLevel="0" max="7" min="7" style="0" width="16"/>
    <col collapsed="false" customWidth="true" hidden="false" outlineLevel="0" max="11" min="8" style="0" width="18"/>
  </cols>
  <sheetData>
    <row r="1" customFormat="false" ht="17.35" hidden="false" customHeight="false" outlineLevel="0" collapsed="false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23.85" hidden="false" customHeight="false" outlineLevel="0" collapsed="false">
      <c r="A2" s="2" t="s">
        <v>1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customFormat="false" ht="15" hidden="false" customHeight="false" outlineLevel="0" collapsed="false">
      <c r="A3" s="3" t="str">
        <f aca="false">Données!A3</f>
        <v>C-2024-001</v>
      </c>
      <c r="B3" s="6" t="n">
        <f aca="false">Données!D3</f>
        <v>850</v>
      </c>
      <c r="C3" s="6" t="n">
        <f aca="false">Données!D3*1.04</f>
        <v>884</v>
      </c>
      <c r="D3" s="6" t="n">
        <f aca="false">C3-B3</f>
        <v>34</v>
      </c>
      <c r="E3" s="6" t="n">
        <f aca="false">Données!E3</f>
        <v>918</v>
      </c>
      <c r="F3" s="6" t="n">
        <f aca="false">E3-B3</f>
        <v>68</v>
      </c>
      <c r="G3" s="6" t="n">
        <f aca="false">Données!J3</f>
        <v>884</v>
      </c>
      <c r="H3" s="6" t="n">
        <f aca="false">G3-B3</f>
        <v>34</v>
      </c>
      <c r="I3" s="12" t="n">
        <f aca="false">E3-C3</f>
        <v>34</v>
      </c>
      <c r="J3" s="12" t="n">
        <f aca="false">G3-C3</f>
        <v>0</v>
      </c>
      <c r="K3" s="3" t="str">
        <f aca="false">Données!H3</f>
        <v>Bon</v>
      </c>
    </row>
    <row r="4" customFormat="false" ht="15" hidden="false" customHeight="false" outlineLevel="0" collapsed="false">
      <c r="A4" s="7" t="str">
        <f aca="false">Données!A4</f>
        <v>C-2024-002</v>
      </c>
      <c r="B4" s="10" t="n">
        <f aca="false">Données!D4</f>
        <v>1200</v>
      </c>
      <c r="C4" s="10" t="n">
        <f aca="false">Données!D4*1.04</f>
        <v>1248</v>
      </c>
      <c r="D4" s="10" t="n">
        <f aca="false">C4-B4</f>
        <v>48</v>
      </c>
      <c r="E4" s="10" t="n">
        <f aca="false">Données!E4</f>
        <v>1344</v>
      </c>
      <c r="F4" s="10" t="n">
        <f aca="false">E4-B4</f>
        <v>144</v>
      </c>
      <c r="G4" s="10" t="n">
        <f aca="false">Données!J4</f>
        <v>1296</v>
      </c>
      <c r="H4" s="10" t="n">
        <f aca="false">G4-B4</f>
        <v>96</v>
      </c>
      <c r="I4" s="13" t="n">
        <f aca="false">E4-C4</f>
        <v>96</v>
      </c>
      <c r="J4" s="13" t="n">
        <f aca="false">G4-C4</f>
        <v>48</v>
      </c>
      <c r="K4" s="7" t="str">
        <f aca="false">Données!H4</f>
        <v>Mauvais</v>
      </c>
    </row>
    <row r="5" customFormat="false" ht="15" hidden="false" customHeight="false" outlineLevel="0" collapsed="false">
      <c r="A5" s="3" t="str">
        <f aca="false">Données!A5</f>
        <v>C-2024-003</v>
      </c>
      <c r="B5" s="6" t="n">
        <f aca="false">Données!D5</f>
        <v>620</v>
      </c>
      <c r="C5" s="6" t="n">
        <f aca="false">Données!D5*1.04</f>
        <v>644.8</v>
      </c>
      <c r="D5" s="6" t="n">
        <f aca="false">C5-B5</f>
        <v>24.8000000000001</v>
      </c>
      <c r="E5" s="6" t="n">
        <f aca="false">Données!E5</f>
        <v>601.4</v>
      </c>
      <c r="F5" s="6" t="n">
        <f aca="false">E5-B5</f>
        <v>-18.6</v>
      </c>
      <c r="G5" s="6" t="n">
        <f aca="false">Données!J5</f>
        <v>644.8</v>
      </c>
      <c r="H5" s="6" t="n">
        <f aca="false">G5-B5</f>
        <v>24.8</v>
      </c>
      <c r="I5" s="12" t="n">
        <f aca="false">E5-C5</f>
        <v>-43.4000000000001</v>
      </c>
      <c r="J5" s="12" t="n">
        <f aca="false">G5-C5</f>
        <v>0</v>
      </c>
      <c r="K5" s="3" t="str">
        <f aca="false">Données!H5</f>
        <v>Très bon</v>
      </c>
    </row>
    <row r="6" customFormat="false" ht="15" hidden="false" customHeight="false" outlineLevel="0" collapsed="false">
      <c r="A6" s="7" t="str">
        <f aca="false">Données!A6</f>
        <v>C-2024-004</v>
      </c>
      <c r="B6" s="10" t="n">
        <f aca="false">Données!D6</f>
        <v>980</v>
      </c>
      <c r="C6" s="10" t="n">
        <f aca="false">Données!D6*1.04</f>
        <v>1019.2</v>
      </c>
      <c r="D6" s="10" t="n">
        <f aca="false">C6-B6</f>
        <v>39.2</v>
      </c>
      <c r="E6" s="10" t="n">
        <f aca="false">Données!E6</f>
        <v>1078</v>
      </c>
      <c r="F6" s="10" t="n">
        <f aca="false">E6-B6</f>
        <v>98</v>
      </c>
      <c r="G6" s="10" t="n">
        <f aca="false">Données!J6</f>
        <v>1019.2</v>
      </c>
      <c r="H6" s="10" t="n">
        <f aca="false">G6-B6</f>
        <v>39.2</v>
      </c>
      <c r="I6" s="13" t="n">
        <f aca="false">E6-C6</f>
        <v>58.8</v>
      </c>
      <c r="J6" s="13" t="n">
        <f aca="false">G6-C6</f>
        <v>0</v>
      </c>
      <c r="K6" s="7" t="str">
        <f aca="false">Données!H6</f>
        <v>Moyen</v>
      </c>
    </row>
    <row r="7" customFormat="false" ht="15" hidden="false" customHeight="false" outlineLevel="0" collapsed="false">
      <c r="A7" s="3" t="str">
        <f aca="false">Données!A7</f>
        <v>C-2024-005</v>
      </c>
      <c r="B7" s="6" t="n">
        <f aca="false">Données!D7</f>
        <v>1500</v>
      </c>
      <c r="C7" s="6" t="n">
        <f aca="false">Données!D7*1.04</f>
        <v>1560</v>
      </c>
      <c r="D7" s="6" t="n">
        <f aca="false">C7-B7</f>
        <v>60</v>
      </c>
      <c r="E7" s="6" t="n">
        <f aca="false">Données!E7</f>
        <v>1725</v>
      </c>
      <c r="F7" s="6" t="n">
        <f aca="false">E7-B7</f>
        <v>225</v>
      </c>
      <c r="G7" s="6" t="n">
        <f aca="false">Données!J7</f>
        <v>1620</v>
      </c>
      <c r="H7" s="6" t="n">
        <f aca="false">G7-B7</f>
        <v>120</v>
      </c>
      <c r="I7" s="12" t="n">
        <f aca="false">E7-C7</f>
        <v>165</v>
      </c>
      <c r="J7" s="12" t="n">
        <f aca="false">G7-C7</f>
        <v>60</v>
      </c>
      <c r="K7" s="3" t="str">
        <f aca="false">Données!H7</f>
        <v>Très mauvais</v>
      </c>
    </row>
    <row r="8" customFormat="false" ht="15" hidden="false" customHeight="false" outlineLevel="0" collapsed="false">
      <c r="A8" s="7" t="str">
        <f aca="false">Données!A8</f>
        <v>C-2024-006</v>
      </c>
      <c r="B8" s="10" t="n">
        <f aca="false">Données!D8</f>
        <v>730</v>
      </c>
      <c r="C8" s="10" t="n">
        <f aca="false">Données!D8*1.04</f>
        <v>759.2</v>
      </c>
      <c r="D8" s="10" t="n">
        <f aca="false">C8-B8</f>
        <v>29.2</v>
      </c>
      <c r="E8" s="10" t="n">
        <f aca="false">Données!E8</f>
        <v>766.5</v>
      </c>
      <c r="F8" s="10" t="n">
        <f aca="false">E8-B8</f>
        <v>36.5</v>
      </c>
      <c r="G8" s="10" t="n">
        <f aca="false">Données!J8</f>
        <v>759.2</v>
      </c>
      <c r="H8" s="10" t="n">
        <f aca="false">G8-B8</f>
        <v>29.2</v>
      </c>
      <c r="I8" s="13" t="n">
        <f aca="false">E8-C8</f>
        <v>7.29999999999995</v>
      </c>
      <c r="J8" s="13" t="n">
        <f aca="false">G8-C8</f>
        <v>0</v>
      </c>
      <c r="K8" s="7" t="str">
        <f aca="false">Données!H8</f>
        <v>Bon</v>
      </c>
    </row>
    <row r="9" customFormat="false" ht="15" hidden="false" customHeight="false" outlineLevel="0" collapsed="false">
      <c r="A9" s="3" t="str">
        <f aca="false">Données!A9</f>
        <v>C-2024-007</v>
      </c>
      <c r="B9" s="6" t="n">
        <f aca="false">Données!D9</f>
        <v>1100</v>
      </c>
      <c r="C9" s="6" t="n">
        <f aca="false">Données!D9*1.04</f>
        <v>1144</v>
      </c>
      <c r="D9" s="6" t="n">
        <f aca="false">C9-B9</f>
        <v>44</v>
      </c>
      <c r="E9" s="6" t="n">
        <f aca="false">Données!E9</f>
        <v>1243</v>
      </c>
      <c r="F9" s="6" t="n">
        <f aca="false">E9-B9</f>
        <v>143</v>
      </c>
      <c r="G9" s="6" t="n">
        <f aca="false">Données!J9</f>
        <v>1188</v>
      </c>
      <c r="H9" s="6" t="n">
        <f aca="false">G9-B9</f>
        <v>88</v>
      </c>
      <c r="I9" s="12" t="n">
        <f aca="false">E9-C9</f>
        <v>99</v>
      </c>
      <c r="J9" s="12" t="n">
        <f aca="false">G9-C9</f>
        <v>44</v>
      </c>
      <c r="K9" s="3" t="str">
        <f aca="false">Données!H9</f>
        <v>Mauvais</v>
      </c>
    </row>
    <row r="10" customFormat="false" ht="15" hidden="false" customHeight="false" outlineLevel="0" collapsed="false">
      <c r="A10" s="7" t="str">
        <f aca="false">Données!A10</f>
        <v>C-2024-008</v>
      </c>
      <c r="B10" s="10" t="n">
        <f aca="false">Données!D10</f>
        <v>540</v>
      </c>
      <c r="C10" s="10" t="n">
        <f aca="false">Données!D10*1.04</f>
        <v>561.6</v>
      </c>
      <c r="D10" s="10" t="n">
        <f aca="false">C10-B10</f>
        <v>21.6</v>
      </c>
      <c r="E10" s="10" t="n">
        <f aca="false">Données!E10</f>
        <v>540</v>
      </c>
      <c r="F10" s="10" t="n">
        <f aca="false">E10-B10</f>
        <v>0</v>
      </c>
      <c r="G10" s="10" t="n">
        <f aca="false">Données!J10</f>
        <v>561.6</v>
      </c>
      <c r="H10" s="10" t="n">
        <f aca="false">G10-B10</f>
        <v>21.6</v>
      </c>
      <c r="I10" s="13" t="n">
        <f aca="false">E10-C10</f>
        <v>-21.6</v>
      </c>
      <c r="J10" s="13" t="n">
        <f aca="false">G10-C10</f>
        <v>0</v>
      </c>
      <c r="K10" s="7" t="str">
        <f aca="false">Données!H10</f>
        <v>Très bon</v>
      </c>
    </row>
    <row r="11" customFormat="false" ht="15" hidden="false" customHeight="false" outlineLevel="0" collapsed="false">
      <c r="A11" s="3" t="str">
        <f aca="false">Données!A11</f>
        <v>C-2024-009</v>
      </c>
      <c r="B11" s="6" t="n">
        <f aca="false">Données!D11</f>
        <v>890</v>
      </c>
      <c r="C11" s="6" t="n">
        <f aca="false">Données!D11*1.04</f>
        <v>925.6</v>
      </c>
      <c r="D11" s="6" t="n">
        <f aca="false">C11-B11</f>
        <v>35.6</v>
      </c>
      <c r="E11" s="6" t="n">
        <f aca="false">Données!E11</f>
        <v>952.3</v>
      </c>
      <c r="F11" s="6" t="n">
        <f aca="false">E11-B11</f>
        <v>62.3</v>
      </c>
      <c r="G11" s="6" t="n">
        <f aca="false">Données!J11</f>
        <v>925.6</v>
      </c>
      <c r="H11" s="6" t="n">
        <f aca="false">G11-B11</f>
        <v>35.6</v>
      </c>
      <c r="I11" s="12" t="n">
        <f aca="false">E11-C11</f>
        <v>26.6999999999999</v>
      </c>
      <c r="J11" s="12" t="n">
        <f aca="false">G11-C11</f>
        <v>0</v>
      </c>
      <c r="K11" s="3" t="str">
        <f aca="false">Données!H11</f>
        <v>Moyen</v>
      </c>
    </row>
    <row r="12" customFormat="false" ht="15" hidden="false" customHeight="false" outlineLevel="0" collapsed="false">
      <c r="A12" s="7" t="str">
        <f aca="false">Données!A12</f>
        <v>C-2024-010</v>
      </c>
      <c r="B12" s="10" t="n">
        <f aca="false">Données!D12</f>
        <v>1650</v>
      </c>
      <c r="C12" s="10" t="n">
        <f aca="false">Données!D12*1.04</f>
        <v>1716</v>
      </c>
      <c r="D12" s="10" t="n">
        <f aca="false">C12-B12</f>
        <v>66</v>
      </c>
      <c r="E12" s="10" t="n">
        <f aca="false">Données!E12</f>
        <v>1947</v>
      </c>
      <c r="F12" s="10" t="n">
        <f aca="false">E12-B12</f>
        <v>297</v>
      </c>
      <c r="G12" s="10" t="n">
        <f aca="false">Données!J12</f>
        <v>1782</v>
      </c>
      <c r="H12" s="10" t="n">
        <f aca="false">G12-B12</f>
        <v>132</v>
      </c>
      <c r="I12" s="13" t="n">
        <f aca="false">E12-C12</f>
        <v>231</v>
      </c>
      <c r="J12" s="13" t="n">
        <f aca="false">G12-C12</f>
        <v>66</v>
      </c>
      <c r="K12" s="7" t="str">
        <f aca="false">Données!H12</f>
        <v>Très mauvais</v>
      </c>
    </row>
    <row r="13" customFormat="false" ht="15" hidden="false" customHeight="false" outlineLevel="0" collapsed="false">
      <c r="A13" s="3" t="str">
        <f aca="false">Données!A13</f>
        <v>C-2024-011</v>
      </c>
      <c r="B13" s="6" t="n">
        <f aca="false">Données!D13</f>
        <v>680</v>
      </c>
      <c r="C13" s="6" t="n">
        <f aca="false">Données!D13*1.04</f>
        <v>707.2</v>
      </c>
      <c r="D13" s="6" t="n">
        <f aca="false">C13-B13</f>
        <v>27.2</v>
      </c>
      <c r="E13" s="6" t="n">
        <f aca="false">Données!E13</f>
        <v>707.2</v>
      </c>
      <c r="F13" s="6" t="n">
        <f aca="false">E13-B13</f>
        <v>27.2</v>
      </c>
      <c r="G13" s="6" t="n">
        <f aca="false">Données!J13</f>
        <v>707.2</v>
      </c>
      <c r="H13" s="6" t="n">
        <f aca="false">G13-B13</f>
        <v>27.2</v>
      </c>
      <c r="I13" s="12" t="n">
        <f aca="false">E13-C13</f>
        <v>0</v>
      </c>
      <c r="J13" s="12" t="n">
        <f aca="false">G13-C13</f>
        <v>0</v>
      </c>
      <c r="K13" s="3" t="str">
        <f aca="false">Données!H13</f>
        <v>Bon</v>
      </c>
    </row>
    <row r="14" customFormat="false" ht="15" hidden="false" customHeight="false" outlineLevel="0" collapsed="false">
      <c r="A14" s="7" t="str">
        <f aca="false">Données!A14</f>
        <v>C-2024-012</v>
      </c>
      <c r="B14" s="10" t="n">
        <f aca="false">Données!D14</f>
        <v>1050</v>
      </c>
      <c r="C14" s="10" t="n">
        <f aca="false">Données!D14*1.04</f>
        <v>1092</v>
      </c>
      <c r="D14" s="10" t="n">
        <f aca="false">C14-B14</f>
        <v>42</v>
      </c>
      <c r="E14" s="10" t="n">
        <f aca="false">Données!E14</f>
        <v>1155</v>
      </c>
      <c r="F14" s="10" t="n">
        <f aca="false">E14-B14</f>
        <v>105</v>
      </c>
      <c r="G14" s="10" t="n">
        <f aca="false">Données!J14</f>
        <v>1092</v>
      </c>
      <c r="H14" s="10" t="n">
        <f aca="false">G14-B14</f>
        <v>42</v>
      </c>
      <c r="I14" s="13" t="n">
        <f aca="false">E14-C14</f>
        <v>63</v>
      </c>
      <c r="J14" s="13" t="n">
        <f aca="false">G14-C14</f>
        <v>0</v>
      </c>
      <c r="K14" s="7" t="str">
        <f aca="false">Données!H14</f>
        <v>Moyen</v>
      </c>
    </row>
    <row r="15" customFormat="false" ht="15" hidden="false" customHeight="false" outlineLevel="0" collapsed="false">
      <c r="A15" s="3" t="str">
        <f aca="false">Données!A15</f>
        <v>C-2024-013</v>
      </c>
      <c r="B15" s="6" t="n">
        <f aca="false">Données!D15</f>
        <v>500</v>
      </c>
      <c r="C15" s="6" t="n">
        <f aca="false">Données!D15*1.04</f>
        <v>520</v>
      </c>
      <c r="D15" s="6" t="n">
        <f aca="false">C15-B15</f>
        <v>20</v>
      </c>
      <c r="E15" s="6" t="n">
        <f aca="false">Données!E15</f>
        <v>475</v>
      </c>
      <c r="F15" s="6" t="n">
        <f aca="false">E15-B15</f>
        <v>-25</v>
      </c>
      <c r="G15" s="6" t="n">
        <f aca="false">Données!J15</f>
        <v>520</v>
      </c>
      <c r="H15" s="6" t="n">
        <f aca="false">G15-B15</f>
        <v>20</v>
      </c>
      <c r="I15" s="12" t="n">
        <f aca="false">E15-C15</f>
        <v>-45</v>
      </c>
      <c r="J15" s="12" t="n">
        <f aca="false">G15-C15</f>
        <v>0</v>
      </c>
      <c r="K15" s="3" t="str">
        <f aca="false">Données!H15</f>
        <v>Très bon</v>
      </c>
    </row>
    <row r="16" customFormat="false" ht="15" hidden="false" customHeight="false" outlineLevel="0" collapsed="false">
      <c r="A16" s="7" t="str">
        <f aca="false">Données!A16</f>
        <v>C-2024-014</v>
      </c>
      <c r="B16" s="10" t="n">
        <f aca="false">Données!D16</f>
        <v>1350</v>
      </c>
      <c r="C16" s="10" t="n">
        <f aca="false">Données!D16*1.04</f>
        <v>1404</v>
      </c>
      <c r="D16" s="10" t="n">
        <f aca="false">C16-B16</f>
        <v>54</v>
      </c>
      <c r="E16" s="10" t="n">
        <f aca="false">Données!E16</f>
        <v>1539</v>
      </c>
      <c r="F16" s="10" t="n">
        <f aca="false">E16-B16</f>
        <v>189</v>
      </c>
      <c r="G16" s="10" t="n">
        <f aca="false">Données!J16</f>
        <v>1458</v>
      </c>
      <c r="H16" s="10" t="n">
        <f aca="false">G16-B16</f>
        <v>108</v>
      </c>
      <c r="I16" s="13" t="n">
        <f aca="false">E16-C16</f>
        <v>135</v>
      </c>
      <c r="J16" s="13" t="n">
        <f aca="false">G16-C16</f>
        <v>54</v>
      </c>
      <c r="K16" s="7" t="str">
        <f aca="false">Données!H16</f>
        <v>Mauvais</v>
      </c>
    </row>
    <row r="17" customFormat="false" ht="15" hidden="false" customHeight="false" outlineLevel="0" collapsed="false">
      <c r="A17" s="3" t="str">
        <f aca="false">Données!A17</f>
        <v>C-2024-015</v>
      </c>
      <c r="B17" s="6" t="n">
        <f aca="false">Données!D17</f>
        <v>1800</v>
      </c>
      <c r="C17" s="6" t="n">
        <f aca="false">Données!D17*1.04</f>
        <v>1872</v>
      </c>
      <c r="D17" s="6" t="n">
        <f aca="false">C17-B17</f>
        <v>72</v>
      </c>
      <c r="E17" s="6" t="n">
        <f aca="false">Données!E17</f>
        <v>2160</v>
      </c>
      <c r="F17" s="6" t="n">
        <f aca="false">E17-B17</f>
        <v>360</v>
      </c>
      <c r="G17" s="6" t="n">
        <f aca="false">Données!J17</f>
        <v>1944</v>
      </c>
      <c r="H17" s="6" t="n">
        <f aca="false">G17-B17</f>
        <v>144</v>
      </c>
      <c r="I17" s="12" t="n">
        <f aca="false">E17-C17</f>
        <v>288</v>
      </c>
      <c r="J17" s="12" t="n">
        <f aca="false">G17-C17</f>
        <v>72</v>
      </c>
      <c r="K17" s="3" t="str">
        <f aca="false">Données!H17</f>
        <v>Très mauvais</v>
      </c>
    </row>
    <row r="18" customFormat="false" ht="15" hidden="false" customHeight="false" outlineLevel="0" collapsed="false">
      <c r="A18" s="14" t="s">
        <v>46</v>
      </c>
      <c r="B18" s="15" t="n">
        <f aca="false">SUM(B3:B17)</f>
        <v>15440</v>
      </c>
      <c r="C18" s="15" t="n">
        <f aca="false">SUM(C3:C17)</f>
        <v>16057.6</v>
      </c>
      <c r="D18" s="15" t="n">
        <f aca="false">SUM(D3:D17)</f>
        <v>617.6</v>
      </c>
      <c r="E18" s="15" t="n">
        <f aca="false">SUM(E3:E17)</f>
        <v>17151.4</v>
      </c>
      <c r="F18" s="15" t="n">
        <f aca="false">SUM(F3:F17)</f>
        <v>1711.4</v>
      </c>
      <c r="G18" s="15" t="n">
        <f aca="false">SUM(G3:G17)</f>
        <v>16401.6</v>
      </c>
      <c r="H18" s="15" t="n">
        <f aca="false">SUM(H3:H17)</f>
        <v>961.6</v>
      </c>
      <c r="I18" s="15" t="n">
        <f aca="false">SUM(I3:I17)</f>
        <v>1093.8</v>
      </c>
      <c r="J18" s="15" t="n">
        <f aca="false">SUM(J3:J17)</f>
        <v>344</v>
      </c>
    </row>
    <row r="19" customFormat="false" ht="15" hidden="false" customHeight="false" outlineLevel="0" collapsed="false">
      <c r="A19" s="16" t="s">
        <v>47</v>
      </c>
      <c r="B19" s="17" t="n">
        <f aca="false">AVERAGE(B3:B17)</f>
        <v>1029.33333333333</v>
      </c>
      <c r="C19" s="17" t="n">
        <f aca="false">AVERAGE(C3:C17)</f>
        <v>1070.50666666667</v>
      </c>
      <c r="D19" s="17" t="n">
        <f aca="false">AVERAGE(D3:D17)</f>
        <v>41.1733333333334</v>
      </c>
      <c r="E19" s="17" t="n">
        <f aca="false">AVERAGE(E3:E17)</f>
        <v>1143.42666666667</v>
      </c>
      <c r="F19" s="17" t="n">
        <f aca="false">AVERAGE(F3:F17)</f>
        <v>114.093333333333</v>
      </c>
      <c r="G19" s="17" t="n">
        <f aca="false">AVERAGE(G3:G17)</f>
        <v>1093.44</v>
      </c>
      <c r="H19" s="17" t="n">
        <f aca="false">AVERAGE(H3:H17)</f>
        <v>64.1066666666667</v>
      </c>
      <c r="I19" s="17" t="n">
        <f aca="false">AVERAGE(I3:I17)</f>
        <v>72.92</v>
      </c>
      <c r="J19" s="17" t="n">
        <f aca="false">AVERAGE(J3:J17)</f>
        <v>22.9333333333333</v>
      </c>
    </row>
    <row r="21" customFormat="false" ht="15" hidden="false" customHeight="false" outlineLevel="0" collapsed="false">
      <c r="A21" s="18" t="s">
        <v>48</v>
      </c>
      <c r="C21" s="19" t="n">
        <f aca="false">C18/B18-1</f>
        <v>0.04</v>
      </c>
      <c r="E21" s="19" t="n">
        <f aca="false">E18/B18-1</f>
        <v>0.110841968911917</v>
      </c>
      <c r="G21" s="19" t="n">
        <f aca="false">G18/B18-1</f>
        <v>0.0622797927461138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24"/>
  </cols>
  <sheetData>
    <row r="1" customFormat="false" ht="17.35" hidden="false" customHeight="false" outlineLevel="0" collapsed="false">
      <c r="A1" s="11" t="s">
        <v>49</v>
      </c>
      <c r="B1" s="11"/>
      <c r="C1" s="11"/>
      <c r="D1" s="11"/>
      <c r="E1" s="11"/>
      <c r="F1" s="11"/>
      <c r="G1" s="11"/>
      <c r="H1" s="11"/>
      <c r="I1" s="11"/>
    </row>
    <row r="2" customFormat="false" ht="23.85" hidden="false" customHeight="false" outlineLevel="0" collapsed="false">
      <c r="A2" s="2" t="s">
        <v>45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customFormat="false" ht="15" hidden="false" customHeight="false" outlineLevel="0" collapsed="false">
      <c r="A3" s="3" t="s">
        <v>19</v>
      </c>
      <c r="B3" s="3" t="n">
        <f aca="false">COUNTIF(Données!H3:H17,A3)</f>
        <v>3</v>
      </c>
      <c r="C3" s="6" t="n">
        <f aca="false">AVERAGEIF(Données!H3:H17,A3,Données!D3:D17)</f>
        <v>553.333333333333</v>
      </c>
      <c r="D3" s="5" t="n">
        <f aca="false">AVERAGEIF(Données!H3:H17,A3,Données!C3:C17)</f>
        <v>-0.0266666666666667</v>
      </c>
      <c r="E3" s="6" t="n">
        <f aca="false">C3*1.04</f>
        <v>575.466666666667</v>
      </c>
      <c r="F3" s="6" t="n">
        <f aca="false">AVERAGEIF(Données!H3:H17,A3,Données!E3:E17)</f>
        <v>538.8</v>
      </c>
      <c r="G3" s="6" t="n">
        <f aca="false">AVERAGEIF(Données!H3:H17,A3,Données!J3:J17)</f>
        <v>575.466666666667</v>
      </c>
      <c r="H3" s="12" t="n">
        <f aca="false">F3-E3</f>
        <v>-36.6666666666666</v>
      </c>
      <c r="I3" s="12" t="n">
        <f aca="false">G3-E3</f>
        <v>0</v>
      </c>
    </row>
    <row r="4" customFormat="false" ht="15" hidden="false" customHeight="false" outlineLevel="0" collapsed="false">
      <c r="A4" s="7" t="s">
        <v>14</v>
      </c>
      <c r="B4" s="7" t="n">
        <f aca="false">COUNTIF(Données!H3:H17,A4)</f>
        <v>3</v>
      </c>
      <c r="C4" s="10" t="n">
        <f aca="false">AVERAGEIF(Données!H3:H17,A4,Données!D3:D17)</f>
        <v>753.333333333333</v>
      </c>
      <c r="D4" s="9" t="n">
        <f aca="false">AVERAGEIF(Données!H3:H17,A4,Données!C3:C17)</f>
        <v>0.0566666666666667</v>
      </c>
      <c r="E4" s="10" t="n">
        <f aca="false">C4*1.04</f>
        <v>783.466666666667</v>
      </c>
      <c r="F4" s="10" t="n">
        <f aca="false">AVERAGEIF(Données!H3:H17,A4,Données!E3:E17)</f>
        <v>797.233333333333</v>
      </c>
      <c r="G4" s="10" t="n">
        <f aca="false">AVERAGEIF(Données!H3:H17,A4,Données!J3:J17)</f>
        <v>783.466666666667</v>
      </c>
      <c r="H4" s="13" t="n">
        <f aca="false">F4-E4</f>
        <v>13.7666666666665</v>
      </c>
      <c r="I4" s="13" t="n">
        <f aca="false">G4-E4</f>
        <v>0</v>
      </c>
    </row>
    <row r="5" customFormat="false" ht="15" hidden="false" customHeight="false" outlineLevel="0" collapsed="false">
      <c r="A5" s="3" t="s">
        <v>21</v>
      </c>
      <c r="B5" s="3" t="n">
        <f aca="false">COUNTIF(Données!H3:H17,A5)</f>
        <v>3</v>
      </c>
      <c r="C5" s="6" t="n">
        <f aca="false">AVERAGEIF(Données!H3:H17,A5,Données!D3:D17)</f>
        <v>973.333333333333</v>
      </c>
      <c r="D5" s="5" t="n">
        <f aca="false">AVERAGEIF(Données!H3:H17,A5,Données!C3:C17)</f>
        <v>0.09</v>
      </c>
      <c r="E5" s="6" t="n">
        <f aca="false">C5*1.04</f>
        <v>1012.26666666667</v>
      </c>
      <c r="F5" s="6" t="n">
        <f aca="false">AVERAGEIF(Données!H3:H17,A5,Données!E3:E17)</f>
        <v>1061.76666666667</v>
      </c>
      <c r="G5" s="6" t="n">
        <f aca="false">AVERAGEIF(Données!H3:H17,A5,Données!J3:J17)</f>
        <v>1012.26666666667</v>
      </c>
      <c r="H5" s="12" t="n">
        <f aca="false">F5-E5</f>
        <v>49.4999999999999</v>
      </c>
      <c r="I5" s="12" t="n">
        <f aca="false">G5-E5</f>
        <v>0</v>
      </c>
    </row>
    <row r="6" customFormat="false" ht="15" hidden="false" customHeight="false" outlineLevel="0" collapsed="false">
      <c r="A6" s="7" t="s">
        <v>17</v>
      </c>
      <c r="B6" s="7" t="n">
        <f aca="false">COUNTIF(Données!H3:H17,A6)</f>
        <v>3</v>
      </c>
      <c r="C6" s="10" t="n">
        <f aca="false">AVERAGEIF(Données!H3:H17,A6,Données!D3:D17)</f>
        <v>1216.66666666667</v>
      </c>
      <c r="D6" s="9" t="n">
        <f aca="false">AVERAGEIF(Données!H3:H17,A6,Données!C3:C17)</f>
        <v>0.13</v>
      </c>
      <c r="E6" s="10" t="n">
        <f aca="false">C6*1.04</f>
        <v>1265.33333333333</v>
      </c>
      <c r="F6" s="10" t="n">
        <f aca="false">AVERAGEIF(Données!H3:H17,A6,Données!E3:E17)</f>
        <v>1375.33333333333</v>
      </c>
      <c r="G6" s="10" t="n">
        <f aca="false">AVERAGEIF(Données!H3:H17,A6,Données!J3:J17)</f>
        <v>1314</v>
      </c>
      <c r="H6" s="13" t="n">
        <f aca="false">F6-E6</f>
        <v>110</v>
      </c>
      <c r="I6" s="13" t="n">
        <f aca="false">G6-E6</f>
        <v>48.6666666666665</v>
      </c>
    </row>
    <row r="7" customFormat="false" ht="15" hidden="false" customHeight="false" outlineLevel="0" collapsed="false">
      <c r="A7" s="3" t="s">
        <v>24</v>
      </c>
      <c r="B7" s="3" t="n">
        <f aca="false">COUNTIF(Données!H3:H17,A7)</f>
        <v>3</v>
      </c>
      <c r="C7" s="6" t="n">
        <f aca="false">AVERAGEIF(Données!H3:H17,A7,Données!D3:D17)</f>
        <v>1650</v>
      </c>
      <c r="D7" s="5" t="n">
        <f aca="false">AVERAGEIF(Données!H3:H17,A7,Données!C3:C17)</f>
        <v>0.176666666666667</v>
      </c>
      <c r="E7" s="6" t="n">
        <f aca="false">C7*1.04</f>
        <v>1716</v>
      </c>
      <c r="F7" s="6" t="n">
        <f aca="false">AVERAGEIF(Données!H3:H17,A7,Données!E3:E17)</f>
        <v>1944</v>
      </c>
      <c r="G7" s="6" t="n">
        <f aca="false">AVERAGEIF(Données!H3:H17,A7,Données!J3:J17)</f>
        <v>1782</v>
      </c>
      <c r="H7" s="12" t="n">
        <f aca="false">F7-E7</f>
        <v>228</v>
      </c>
      <c r="I7" s="12" t="n">
        <f aca="false">G7-E7</f>
        <v>66</v>
      </c>
    </row>
    <row r="10" customFormat="false" ht="15" hidden="false" customHeight="false" outlineLevel="0" collapsed="false">
      <c r="A10" s="20" t="s">
        <v>58</v>
      </c>
      <c r="B10" s="20"/>
      <c r="C10" s="20"/>
      <c r="D10" s="20"/>
      <c r="E10" s="20"/>
      <c r="F10" s="20"/>
      <c r="G10" s="20"/>
      <c r="H10" s="20"/>
      <c r="I10" s="20"/>
    </row>
    <row r="11" customFormat="false" ht="15" hidden="false" customHeight="true" outlineLevel="0" collapsed="false">
      <c r="A11" s="21" t="s">
        <v>59</v>
      </c>
      <c r="B11" s="21"/>
      <c r="C11" s="21"/>
      <c r="D11" s="21"/>
      <c r="E11" s="21"/>
      <c r="F11" s="21"/>
      <c r="G11" s="21"/>
      <c r="H11" s="22" t="n">
        <f aca="false">'Analyse Comparative'!B18</f>
        <v>15440</v>
      </c>
    </row>
    <row r="12" customFormat="false" ht="15" hidden="false" customHeight="true" outlineLevel="0" collapsed="false">
      <c r="A12" s="21" t="s">
        <v>60</v>
      </c>
      <c r="B12" s="21"/>
      <c r="C12" s="21"/>
      <c r="D12" s="21"/>
      <c r="E12" s="21"/>
      <c r="F12" s="21"/>
      <c r="G12" s="21"/>
      <c r="H12" s="22" t="n">
        <f aca="false">'Analyse Comparative'!C18</f>
        <v>16057.6</v>
      </c>
    </row>
    <row r="13" customFormat="false" ht="15" hidden="false" customHeight="true" outlineLevel="0" collapsed="false">
      <c r="A13" s="21" t="s">
        <v>61</v>
      </c>
      <c r="B13" s="21"/>
      <c r="C13" s="21"/>
      <c r="D13" s="21"/>
      <c r="E13" s="21"/>
      <c r="F13" s="21"/>
      <c r="G13" s="21"/>
      <c r="H13" s="22" t="n">
        <f aca="false">'Analyse Comparative'!E18</f>
        <v>17151.4</v>
      </c>
    </row>
    <row r="14" customFormat="false" ht="15" hidden="false" customHeight="true" outlineLevel="0" collapsed="false">
      <c r="A14" s="21" t="s">
        <v>62</v>
      </c>
      <c r="B14" s="21"/>
      <c r="C14" s="21"/>
      <c r="D14" s="21"/>
      <c r="E14" s="21"/>
      <c r="F14" s="21"/>
      <c r="G14" s="21"/>
      <c r="H14" s="22" t="n">
        <f aca="false">'Analyse Comparative'!G18</f>
        <v>16401.6</v>
      </c>
    </row>
    <row r="15" customFormat="false" ht="15" hidden="false" customHeight="true" outlineLevel="0" collapsed="false">
      <c r="A15" s="21" t="s">
        <v>63</v>
      </c>
      <c r="B15" s="21"/>
      <c r="C15" s="21"/>
      <c r="D15" s="21"/>
      <c r="E15" s="21"/>
      <c r="F15" s="21"/>
      <c r="G15" s="21"/>
      <c r="H15" s="22" t="n">
        <f aca="false">H13-H12</f>
        <v>1093.8</v>
      </c>
    </row>
    <row r="16" customFormat="false" ht="15" hidden="false" customHeight="true" outlineLevel="0" collapsed="false">
      <c r="A16" s="21" t="s">
        <v>64</v>
      </c>
      <c r="B16" s="21"/>
      <c r="C16" s="21"/>
      <c r="D16" s="21"/>
      <c r="E16" s="21"/>
      <c r="F16" s="21"/>
      <c r="G16" s="21"/>
      <c r="H16" s="22" t="n">
        <f aca="false">H14-H12</f>
        <v>343.999999999998</v>
      </c>
    </row>
    <row r="17" customFormat="false" ht="15" hidden="false" customHeight="true" outlineLevel="0" collapsed="false">
      <c r="A17" s="21" t="s">
        <v>65</v>
      </c>
      <c r="B17" s="21"/>
      <c r="C17" s="21"/>
      <c r="D17" s="21"/>
      <c r="E17" s="21"/>
      <c r="F17" s="21"/>
      <c r="G17" s="21"/>
      <c r="H17" s="22" t="n">
        <f aca="false">H13-H14</f>
        <v>749.800000000003</v>
      </c>
    </row>
  </sheetData>
  <mergeCells count="9">
    <mergeCell ref="A1:I1"/>
    <mergeCell ref="A10:I10"/>
    <mergeCell ref="A11:G11"/>
    <mergeCell ref="A12:G1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19.7" hidden="false" customHeight="false" outlineLevel="0" collapsed="false">
      <c r="A1" s="23" t="s">
        <v>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customFormat="false" ht="15" hidden="false" customHeight="false" outlineLevel="0" collapsed="false">
      <c r="A3" s="14" t="s">
        <v>45</v>
      </c>
      <c r="B3" s="14" t="s">
        <v>67</v>
      </c>
      <c r="C3" s="14" t="s">
        <v>68</v>
      </c>
      <c r="D3" s="14" t="s">
        <v>69</v>
      </c>
    </row>
    <row r="4" customFormat="false" ht="15" hidden="false" customHeight="false" outlineLevel="0" collapsed="false">
      <c r="A4" s="0" t="s">
        <v>19</v>
      </c>
      <c r="B4" s="24" t="n">
        <f aca="false">'Stats par Segment'!E3</f>
        <v>575.466666666667</v>
      </c>
      <c r="C4" s="24" t="n">
        <f aca="false">'Stats par Segment'!F3</f>
        <v>538.8</v>
      </c>
      <c r="D4" s="24" t="n">
        <f aca="false">'Stats par Segment'!G3</f>
        <v>575.466666666667</v>
      </c>
    </row>
    <row r="5" customFormat="false" ht="15" hidden="false" customHeight="false" outlineLevel="0" collapsed="false">
      <c r="A5" s="0" t="s">
        <v>14</v>
      </c>
      <c r="B5" s="24" t="n">
        <f aca="false">'Stats par Segment'!E4</f>
        <v>783.466666666667</v>
      </c>
      <c r="C5" s="24" t="n">
        <f aca="false">'Stats par Segment'!F4</f>
        <v>797.233333333333</v>
      </c>
      <c r="D5" s="24" t="n">
        <f aca="false">'Stats par Segment'!G4</f>
        <v>783.466666666667</v>
      </c>
    </row>
    <row r="6" customFormat="false" ht="15" hidden="false" customHeight="false" outlineLevel="0" collapsed="false">
      <c r="A6" s="0" t="s">
        <v>21</v>
      </c>
      <c r="B6" s="24" t="n">
        <f aca="false">'Stats par Segment'!E5</f>
        <v>1012.26666666667</v>
      </c>
      <c r="C6" s="24" t="n">
        <f aca="false">'Stats par Segment'!F5</f>
        <v>1061.76666666667</v>
      </c>
      <c r="D6" s="24" t="n">
        <f aca="false">'Stats par Segment'!G5</f>
        <v>1012.26666666667</v>
      </c>
    </row>
    <row r="7" customFormat="false" ht="15" hidden="false" customHeight="false" outlineLevel="0" collapsed="false">
      <c r="A7" s="0" t="s">
        <v>17</v>
      </c>
      <c r="B7" s="24" t="n">
        <f aca="false">'Stats par Segment'!E6</f>
        <v>1265.33333333333</v>
      </c>
      <c r="C7" s="24" t="n">
        <f aca="false">'Stats par Segment'!F6</f>
        <v>1375.33333333333</v>
      </c>
      <c r="D7" s="24" t="n">
        <f aca="false">'Stats par Segment'!G6</f>
        <v>1314</v>
      </c>
    </row>
    <row r="8" customFormat="false" ht="15" hidden="false" customHeight="false" outlineLevel="0" collapsed="false">
      <c r="A8" s="0" t="s">
        <v>24</v>
      </c>
      <c r="B8" s="24" t="n">
        <f aca="false">'Stats par Segment'!E7</f>
        <v>1716</v>
      </c>
      <c r="C8" s="24" t="n">
        <f aca="false">'Stats par Segment'!F7</f>
        <v>1944</v>
      </c>
      <c r="D8" s="24" t="n">
        <f aca="false">'Stats par Segment'!G7</f>
        <v>1782</v>
      </c>
    </row>
    <row r="10" customFormat="false" ht="15" hidden="false" customHeight="false" outlineLevel="0" collapsed="false">
      <c r="A10" s="14" t="s">
        <v>1</v>
      </c>
      <c r="B10" s="14" t="s">
        <v>70</v>
      </c>
      <c r="C10" s="14" t="s">
        <v>71</v>
      </c>
    </row>
    <row r="11" customFormat="false" ht="15" hidden="false" customHeight="false" outlineLevel="0" collapsed="false">
      <c r="A11" s="0" t="str">
        <f aca="false">'Analyse Comparative'!A3</f>
        <v>C-2024-001</v>
      </c>
      <c r="B11" s="25" t="n">
        <f aca="false">'Analyse Comparative'!I3</f>
        <v>34</v>
      </c>
      <c r="C11" s="25" t="n">
        <f aca="false">'Analyse Comparative'!J3</f>
        <v>0</v>
      </c>
    </row>
    <row r="12" customFormat="false" ht="15" hidden="false" customHeight="false" outlineLevel="0" collapsed="false">
      <c r="A12" s="0" t="str">
        <f aca="false">'Analyse Comparative'!A4</f>
        <v>C-2024-002</v>
      </c>
      <c r="B12" s="25" t="n">
        <f aca="false">'Analyse Comparative'!I4</f>
        <v>96</v>
      </c>
      <c r="C12" s="25" t="n">
        <f aca="false">'Analyse Comparative'!J4</f>
        <v>48</v>
      </c>
    </row>
    <row r="13" customFormat="false" ht="15" hidden="false" customHeight="false" outlineLevel="0" collapsed="false">
      <c r="A13" s="0" t="str">
        <f aca="false">'Analyse Comparative'!A5</f>
        <v>C-2024-003</v>
      </c>
      <c r="B13" s="25" t="n">
        <f aca="false">'Analyse Comparative'!I5</f>
        <v>-43.4000000000001</v>
      </c>
      <c r="C13" s="25" t="n">
        <f aca="false">'Analyse Comparative'!J5</f>
        <v>0</v>
      </c>
    </row>
    <row r="14" customFormat="false" ht="15" hidden="false" customHeight="false" outlineLevel="0" collapsed="false">
      <c r="A14" s="0" t="str">
        <f aca="false">'Analyse Comparative'!A6</f>
        <v>C-2024-004</v>
      </c>
      <c r="B14" s="25" t="n">
        <f aca="false">'Analyse Comparative'!I6</f>
        <v>58.8</v>
      </c>
      <c r="C14" s="25" t="n">
        <f aca="false">'Analyse Comparative'!J6</f>
        <v>0</v>
      </c>
    </row>
    <row r="15" customFormat="false" ht="15" hidden="false" customHeight="false" outlineLevel="0" collapsed="false">
      <c r="A15" s="0" t="str">
        <f aca="false">'Analyse Comparative'!A7</f>
        <v>C-2024-005</v>
      </c>
      <c r="B15" s="25" t="n">
        <f aca="false">'Analyse Comparative'!I7</f>
        <v>165</v>
      </c>
      <c r="C15" s="25" t="n">
        <f aca="false">'Analyse Comparative'!J7</f>
        <v>60</v>
      </c>
    </row>
    <row r="16" customFormat="false" ht="15" hidden="false" customHeight="false" outlineLevel="0" collapsed="false">
      <c r="A16" s="0" t="str">
        <f aca="false">'Analyse Comparative'!A8</f>
        <v>C-2024-006</v>
      </c>
      <c r="B16" s="25" t="n">
        <f aca="false">'Analyse Comparative'!I8</f>
        <v>7.29999999999995</v>
      </c>
      <c r="C16" s="25" t="n">
        <f aca="false">'Analyse Comparative'!J8</f>
        <v>0</v>
      </c>
    </row>
    <row r="17" customFormat="false" ht="15" hidden="false" customHeight="false" outlineLevel="0" collapsed="false">
      <c r="A17" s="0" t="str">
        <f aca="false">'Analyse Comparative'!A9</f>
        <v>C-2024-007</v>
      </c>
      <c r="B17" s="25" t="n">
        <f aca="false">'Analyse Comparative'!I9</f>
        <v>99</v>
      </c>
      <c r="C17" s="25" t="n">
        <f aca="false">'Analyse Comparative'!J9</f>
        <v>44</v>
      </c>
    </row>
    <row r="18" customFormat="false" ht="15" hidden="false" customHeight="false" outlineLevel="0" collapsed="false">
      <c r="A18" s="0" t="str">
        <f aca="false">'Analyse Comparative'!A10</f>
        <v>C-2024-008</v>
      </c>
      <c r="B18" s="25" t="n">
        <f aca="false">'Analyse Comparative'!I10</f>
        <v>-21.6</v>
      </c>
      <c r="C18" s="25" t="n">
        <f aca="false">'Analyse Comparative'!J10</f>
        <v>0</v>
      </c>
    </row>
    <row r="19" customFormat="false" ht="15" hidden="false" customHeight="false" outlineLevel="0" collapsed="false">
      <c r="A19" s="0" t="str">
        <f aca="false">'Analyse Comparative'!A11</f>
        <v>C-2024-009</v>
      </c>
      <c r="B19" s="25" t="n">
        <f aca="false">'Analyse Comparative'!I11</f>
        <v>26.6999999999999</v>
      </c>
      <c r="C19" s="25" t="n">
        <f aca="false">'Analyse Comparative'!J11</f>
        <v>0</v>
      </c>
    </row>
    <row r="20" customFormat="false" ht="15" hidden="false" customHeight="false" outlineLevel="0" collapsed="false">
      <c r="A20" s="0" t="str">
        <f aca="false">'Analyse Comparative'!A12</f>
        <v>C-2024-010</v>
      </c>
      <c r="B20" s="25" t="n">
        <f aca="false">'Analyse Comparative'!I12</f>
        <v>231</v>
      </c>
      <c r="C20" s="25" t="n">
        <f aca="false">'Analyse Comparative'!J12</f>
        <v>66</v>
      </c>
    </row>
    <row r="21" customFormat="false" ht="15" hidden="false" customHeight="false" outlineLevel="0" collapsed="false">
      <c r="A21" s="0" t="str">
        <f aca="false">'Analyse Comparative'!A13</f>
        <v>C-2024-011</v>
      </c>
      <c r="B21" s="25" t="n">
        <f aca="false">'Analyse Comparative'!I13</f>
        <v>0</v>
      </c>
      <c r="C21" s="25" t="n">
        <f aca="false">'Analyse Comparative'!J13</f>
        <v>0</v>
      </c>
    </row>
    <row r="22" customFormat="false" ht="15" hidden="false" customHeight="false" outlineLevel="0" collapsed="false">
      <c r="A22" s="0" t="str">
        <f aca="false">'Analyse Comparative'!A14</f>
        <v>C-2024-012</v>
      </c>
      <c r="B22" s="25" t="n">
        <f aca="false">'Analyse Comparative'!I14</f>
        <v>63</v>
      </c>
      <c r="C22" s="25" t="n">
        <f aca="false">'Analyse Comparative'!J14</f>
        <v>0</v>
      </c>
    </row>
    <row r="23" customFormat="false" ht="15" hidden="false" customHeight="false" outlineLevel="0" collapsed="false">
      <c r="A23" s="0" t="str">
        <f aca="false">'Analyse Comparative'!A15</f>
        <v>C-2024-013</v>
      </c>
      <c r="B23" s="25" t="n">
        <f aca="false">'Analyse Comparative'!I15</f>
        <v>-45</v>
      </c>
      <c r="C23" s="25" t="n">
        <f aca="false">'Analyse Comparative'!J15</f>
        <v>0</v>
      </c>
    </row>
    <row r="24" customFormat="false" ht="15" hidden="false" customHeight="false" outlineLevel="0" collapsed="false">
      <c r="A24" s="0" t="str">
        <f aca="false">'Analyse Comparative'!A16</f>
        <v>C-2024-014</v>
      </c>
      <c r="B24" s="25" t="n">
        <f aca="false">'Analyse Comparative'!I16</f>
        <v>135</v>
      </c>
      <c r="C24" s="25" t="n">
        <f aca="false">'Analyse Comparative'!J16</f>
        <v>54</v>
      </c>
    </row>
    <row r="25" customFormat="false" ht="15" hidden="false" customHeight="false" outlineLevel="0" collapsed="false">
      <c r="A25" s="0" t="str">
        <f aca="false">'Analyse Comparative'!A17</f>
        <v>C-2024-015</v>
      </c>
      <c r="B25" s="25" t="n">
        <f aca="false">'Analyse Comparative'!I17</f>
        <v>288</v>
      </c>
      <c r="C25" s="25" t="n">
        <f aca="false">'Analyse Comparative'!J17</f>
        <v>72</v>
      </c>
    </row>
    <row r="27" customFormat="false" ht="15" hidden="false" customHeight="false" outlineLevel="0" collapsed="false">
      <c r="A27" s="14" t="s">
        <v>1</v>
      </c>
      <c r="B27" s="14" t="s">
        <v>72</v>
      </c>
      <c r="C27" s="14" t="s">
        <v>73</v>
      </c>
      <c r="D27" s="14" t="s">
        <v>74</v>
      </c>
    </row>
    <row r="28" customFormat="false" ht="15" hidden="false" customHeight="false" outlineLevel="0" collapsed="false">
      <c r="A28" s="0" t="str">
        <f aca="false">Données!A3</f>
        <v>C-2024-001</v>
      </c>
      <c r="B28" s="26" t="n">
        <f aca="false">Données!C3</f>
        <v>0.08</v>
      </c>
      <c r="C28" s="26" t="n">
        <f aca="false">Données!K3</f>
        <v>0.04</v>
      </c>
      <c r="D28" s="0" t="n">
        <v>0.04</v>
      </c>
    </row>
    <row r="29" customFormat="false" ht="15" hidden="false" customHeight="false" outlineLevel="0" collapsed="false">
      <c r="A29" s="0" t="str">
        <f aca="false">Données!A4</f>
        <v>C-2024-002</v>
      </c>
      <c r="B29" s="26" t="n">
        <f aca="false">Données!C4</f>
        <v>0.12</v>
      </c>
      <c r="C29" s="26" t="n">
        <f aca="false">Données!K4</f>
        <v>0.08</v>
      </c>
      <c r="D29" s="0" t="n">
        <v>0.04</v>
      </c>
    </row>
    <row r="30" customFormat="false" ht="15" hidden="false" customHeight="false" outlineLevel="0" collapsed="false">
      <c r="A30" s="0" t="str">
        <f aca="false">Données!A5</f>
        <v>C-2024-003</v>
      </c>
      <c r="B30" s="26" t="n">
        <f aca="false">Données!C5</f>
        <v>-0.03</v>
      </c>
      <c r="C30" s="26" t="n">
        <f aca="false">Données!K5</f>
        <v>0.04</v>
      </c>
      <c r="D30" s="0" t="n">
        <v>0.04</v>
      </c>
    </row>
    <row r="31" customFormat="false" ht="15" hidden="false" customHeight="false" outlineLevel="0" collapsed="false">
      <c r="A31" s="0" t="str">
        <f aca="false">Données!A6</f>
        <v>C-2024-004</v>
      </c>
      <c r="B31" s="26" t="n">
        <f aca="false">Données!C6</f>
        <v>0.1</v>
      </c>
      <c r="C31" s="26" t="n">
        <f aca="false">Données!K6</f>
        <v>0.04</v>
      </c>
      <c r="D31" s="0" t="n">
        <v>0.04</v>
      </c>
    </row>
    <row r="32" customFormat="false" ht="15" hidden="false" customHeight="false" outlineLevel="0" collapsed="false">
      <c r="A32" s="0" t="str">
        <f aca="false">Données!A7</f>
        <v>C-2024-005</v>
      </c>
      <c r="B32" s="26" t="n">
        <f aca="false">Données!C7</f>
        <v>0.15</v>
      </c>
      <c r="C32" s="26" t="n">
        <f aca="false">Données!K7</f>
        <v>0.08</v>
      </c>
      <c r="D32" s="0" t="n">
        <v>0.04</v>
      </c>
    </row>
    <row r="33" customFormat="false" ht="15" hidden="false" customHeight="false" outlineLevel="0" collapsed="false">
      <c r="A33" s="0" t="str">
        <f aca="false">Données!A8</f>
        <v>C-2024-006</v>
      </c>
      <c r="B33" s="26" t="n">
        <f aca="false">Données!C8</f>
        <v>0.05</v>
      </c>
      <c r="C33" s="26" t="n">
        <f aca="false">Données!K8</f>
        <v>0.04</v>
      </c>
      <c r="D33" s="0" t="n">
        <v>0.04</v>
      </c>
    </row>
    <row r="34" customFormat="false" ht="15" hidden="false" customHeight="false" outlineLevel="0" collapsed="false">
      <c r="A34" s="0" t="str">
        <f aca="false">Données!A9</f>
        <v>C-2024-007</v>
      </c>
      <c r="B34" s="26" t="n">
        <f aca="false">Données!C9</f>
        <v>0.13</v>
      </c>
      <c r="C34" s="26" t="n">
        <f aca="false">Données!K9</f>
        <v>0.08</v>
      </c>
      <c r="D34" s="0" t="n">
        <v>0.04</v>
      </c>
    </row>
    <row r="35" customFormat="false" ht="15" hidden="false" customHeight="false" outlineLevel="0" collapsed="false">
      <c r="A35" s="0" t="str">
        <f aca="false">Données!A10</f>
        <v>C-2024-008</v>
      </c>
      <c r="B35" s="26" t="n">
        <f aca="false">Données!C10</f>
        <v>0</v>
      </c>
      <c r="C35" s="26" t="n">
        <f aca="false">Données!K10</f>
        <v>0.04</v>
      </c>
      <c r="D35" s="0" t="n">
        <v>0.04</v>
      </c>
    </row>
    <row r="36" customFormat="false" ht="15" hidden="false" customHeight="false" outlineLevel="0" collapsed="false">
      <c r="A36" s="0" t="str">
        <f aca="false">Données!A11</f>
        <v>C-2024-009</v>
      </c>
      <c r="B36" s="26" t="n">
        <f aca="false">Données!C11</f>
        <v>0.07</v>
      </c>
      <c r="C36" s="26" t="n">
        <f aca="false">Données!K11</f>
        <v>0.04</v>
      </c>
      <c r="D36" s="0" t="n">
        <v>0.04</v>
      </c>
    </row>
    <row r="37" customFormat="false" ht="15" hidden="false" customHeight="false" outlineLevel="0" collapsed="false">
      <c r="A37" s="0" t="str">
        <f aca="false">Données!A12</f>
        <v>C-2024-010</v>
      </c>
      <c r="B37" s="26" t="n">
        <f aca="false">Données!C12</f>
        <v>0.18</v>
      </c>
      <c r="C37" s="26" t="n">
        <f aca="false">Données!K12</f>
        <v>0.08</v>
      </c>
      <c r="D37" s="0" t="n">
        <v>0.04</v>
      </c>
    </row>
    <row r="38" customFormat="false" ht="15" hidden="false" customHeight="false" outlineLevel="0" collapsed="false">
      <c r="A38" s="0" t="str">
        <f aca="false">Données!A13</f>
        <v>C-2024-011</v>
      </c>
      <c r="B38" s="26" t="n">
        <f aca="false">Données!C13</f>
        <v>0.04</v>
      </c>
      <c r="C38" s="26" t="n">
        <f aca="false">Données!K13</f>
        <v>0.04</v>
      </c>
      <c r="D38" s="0" t="n">
        <v>0.04</v>
      </c>
    </row>
    <row r="39" customFormat="false" ht="15" hidden="false" customHeight="false" outlineLevel="0" collapsed="false">
      <c r="A39" s="0" t="str">
        <f aca="false">Données!A14</f>
        <v>C-2024-012</v>
      </c>
      <c r="B39" s="26" t="n">
        <f aca="false">Données!C14</f>
        <v>0.1</v>
      </c>
      <c r="C39" s="26" t="n">
        <f aca="false">Données!K14</f>
        <v>0.04</v>
      </c>
      <c r="D39" s="0" t="n">
        <v>0.04</v>
      </c>
    </row>
    <row r="40" customFormat="false" ht="15" hidden="false" customHeight="false" outlineLevel="0" collapsed="false">
      <c r="A40" s="0" t="str">
        <f aca="false">Données!A15</f>
        <v>C-2024-013</v>
      </c>
      <c r="B40" s="26" t="n">
        <f aca="false">Données!C15</f>
        <v>-0.05</v>
      </c>
      <c r="C40" s="26" t="n">
        <f aca="false">Données!K15</f>
        <v>0.04</v>
      </c>
      <c r="D40" s="0" t="n">
        <v>0.04</v>
      </c>
    </row>
    <row r="41" customFormat="false" ht="15" hidden="false" customHeight="false" outlineLevel="0" collapsed="false">
      <c r="A41" s="0" t="str">
        <f aca="false">Données!A16</f>
        <v>C-2024-014</v>
      </c>
      <c r="B41" s="26" t="n">
        <f aca="false">Données!C16</f>
        <v>0.14</v>
      </c>
      <c r="C41" s="26" t="n">
        <f aca="false">Données!K16</f>
        <v>0.08</v>
      </c>
      <c r="D41" s="0" t="n">
        <v>0.04</v>
      </c>
    </row>
    <row r="42" customFormat="false" ht="15" hidden="false" customHeight="false" outlineLevel="0" collapsed="false">
      <c r="A42" s="0" t="str">
        <f aca="false">Données!A17</f>
        <v>C-2024-015</v>
      </c>
      <c r="B42" s="26" t="n">
        <f aca="false">Données!C17</f>
        <v>0.2</v>
      </c>
      <c r="C42" s="26" t="n">
        <f aca="false">Données!K17</f>
        <v>0.08</v>
      </c>
      <c r="D42" s="0" t="n">
        <v>0.04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1" t="s">
        <v>75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8" t="s">
        <v>76</v>
      </c>
    </row>
    <row r="4" customFormat="false" ht="15" hidden="false" customHeight="true" outlineLevel="0" collapsed="false">
      <c r="A4" s="27" t="s">
        <v>77</v>
      </c>
      <c r="B4" s="27"/>
      <c r="C4" s="27"/>
      <c r="D4" s="27"/>
      <c r="E4" s="27"/>
      <c r="F4" s="27"/>
    </row>
    <row r="5" customFormat="false" ht="15" hidden="false" customHeight="false" outlineLevel="0" collapsed="false">
      <c r="A5" s="18" t="s">
        <v>78</v>
      </c>
    </row>
    <row r="6" customFormat="false" ht="15" hidden="false" customHeight="true" outlineLevel="0" collapsed="false">
      <c r="A6" s="27" t="s">
        <v>79</v>
      </c>
      <c r="B6" s="27"/>
      <c r="C6" s="27"/>
      <c r="D6" s="27"/>
      <c r="E6" s="27"/>
      <c r="F6" s="27"/>
    </row>
    <row r="7" customFormat="false" ht="15" hidden="false" customHeight="false" outlineLevel="0" collapsed="false">
      <c r="A7" s="18" t="s">
        <v>80</v>
      </c>
    </row>
    <row r="8" customFormat="false" ht="15" hidden="false" customHeight="true" outlineLevel="0" collapsed="false">
      <c r="A8" s="27" t="s">
        <v>81</v>
      </c>
      <c r="B8" s="27"/>
      <c r="C8" s="27"/>
      <c r="D8" s="27"/>
      <c r="E8" s="27"/>
      <c r="F8" s="27"/>
    </row>
    <row r="9" customFormat="false" ht="15" hidden="false" customHeight="false" outlineLevel="0" collapsed="false">
      <c r="A9" s="18" t="s">
        <v>82</v>
      </c>
    </row>
    <row r="10" customFormat="false" ht="15" hidden="false" customHeight="true" outlineLevel="0" collapsed="false">
      <c r="A10" s="27" t="s">
        <v>83</v>
      </c>
      <c r="B10" s="27"/>
      <c r="C10" s="27"/>
      <c r="D10" s="27"/>
      <c r="E10" s="27"/>
      <c r="F10" s="27"/>
    </row>
    <row r="11" customFormat="false" ht="15" hidden="false" customHeight="false" outlineLevel="0" collapsed="false">
      <c r="A11" s="18" t="s">
        <v>84</v>
      </c>
    </row>
    <row r="12" customFormat="false" ht="15" hidden="false" customHeight="true" outlineLevel="0" collapsed="false">
      <c r="A12" s="27" t="s">
        <v>85</v>
      </c>
      <c r="B12" s="27"/>
      <c r="C12" s="27"/>
      <c r="D12" s="27"/>
      <c r="E12" s="27"/>
      <c r="F12" s="27"/>
    </row>
    <row r="13" customFormat="false" ht="15" hidden="false" customHeight="false" outlineLevel="0" collapsed="false">
      <c r="A13" s="18" t="s">
        <v>86</v>
      </c>
    </row>
    <row r="14" customFormat="false" ht="15" hidden="false" customHeight="true" outlineLevel="0" collapsed="false">
      <c r="A14" s="27" t="s">
        <v>87</v>
      </c>
      <c r="B14" s="27"/>
      <c r="C14" s="27"/>
      <c r="D14" s="27"/>
      <c r="E14" s="27"/>
      <c r="F14" s="27"/>
    </row>
    <row r="15" customFormat="false" ht="15" hidden="false" customHeight="false" outlineLevel="0" collapsed="false">
      <c r="A15" s="18" t="s">
        <v>88</v>
      </c>
    </row>
    <row r="16" customFormat="false" ht="15" hidden="false" customHeight="true" outlineLevel="0" collapsed="false">
      <c r="A16" s="27" t="s">
        <v>89</v>
      </c>
      <c r="B16" s="27"/>
      <c r="C16" s="27"/>
      <c r="D16" s="27"/>
      <c r="E16" s="27"/>
      <c r="F16" s="27"/>
    </row>
    <row r="17" customFormat="false" ht="15" hidden="false" customHeight="false" outlineLevel="0" collapsed="false">
      <c r="A17" s="18" t="s">
        <v>90</v>
      </c>
    </row>
    <row r="18" customFormat="false" ht="15" hidden="false" customHeight="true" outlineLevel="0" collapsed="false">
      <c r="A18" s="27" t="s">
        <v>91</v>
      </c>
      <c r="B18" s="27"/>
      <c r="C18" s="27"/>
      <c r="D18" s="27"/>
      <c r="E18" s="27"/>
      <c r="F18" s="27"/>
    </row>
  </sheetData>
  <mergeCells count="9">
    <mergeCell ref="A1:F1"/>
    <mergeCell ref="A4:F4"/>
    <mergeCell ref="A6:F6"/>
    <mergeCell ref="A8:F8"/>
    <mergeCell ref="A10:F10"/>
    <mergeCell ref="A12:F12"/>
    <mergeCell ref="A14:F14"/>
    <mergeCell ref="A16:F1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2026-04-02T19:06:29Z</dcterms:created>
  <dc:creator>openpyxl</dc:creator>
  <dc:description/>
  <dc:language>en-US</dc:language>
  <cp:lastModifiedBy/>
  <dcterms:modified xsi:type="dcterms:W3CDTF">2026-04-02T19:06:38Z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