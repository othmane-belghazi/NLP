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ion Recalibrage CT" sheetId="1" state="visible" r:id="rId3"/>
  </sheets>
  <definedNames>
    <definedName function="false" hidden="false" localSheetId="0" name="_xlnm.Print_Area" vbProcedure="false">'Simulation Recalibrage CT'!$A$1:$M$31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<sst xmlns="http://schemas.openxmlformats.org/spreadsheetml/2006/main" count="44" uniqueCount="39">
  <si>
    <t xml:space="preserve">Simulation de Recalibrage du CT — Segments 80+ ans (CT &gt; 1.25)</t>
  </si>
  <si>
    <t xml:space="preserve">Impact financier du plafonnement du CT à 1.25 sur les tranches d'âge conducteur ≥ 80 ans</t>
  </si>
  <si>
    <t xml:space="preserve">Données simulées — Portefeuille Auto 2025</t>
  </si>
  <si>
    <t xml:space="preserve">CA HT Total Portefeuille</t>
  </si>
  <si>
    <t xml:space="preserve">CT Global Portefeuille</t>
  </si>
  <si>
    <t xml:space="preserve">Nb Contrats Total</t>
  </si>
  <si>
    <t xml:space="preserve">CT Cible Recalibrage</t>
  </si>
  <si>
    <t xml:space="preserve">1. Détail par tranche d'âge</t>
  </si>
  <si>
    <t xml:space="preserve">Tranche
d'âge</t>
  </si>
  <si>
    <t xml:space="preserve">Nb
contrats</t>
  </si>
  <si>
    <t xml:space="preserve">% Ptf
(volume)</t>
  </si>
  <si>
    <t xml:space="preserve">Σ Prime AN
(€)</t>
  </si>
  <si>
    <t xml:space="preserve">CT actuel
(agrégé)</t>
  </si>
  <si>
    <t xml:space="preserve">Σ Prime Ptf
actuelle (€)</t>
  </si>
  <si>
    <t xml:space="preserve">CT cible</t>
  </si>
  <si>
    <t xml:space="preserve">Σ Prime Ptf
cible (€)</t>
  </si>
  <si>
    <t xml:space="preserve">Perte
(€)</t>
  </si>
  <si>
    <t xml:space="preserve">Perte
(% CA HT total)</t>
  </si>
  <si>
    <t xml:space="preserve">Δ CT</t>
  </si>
  <si>
    <t xml:space="preserve">81-85 ans</t>
  </si>
  <si>
    <t xml:space="preserve">86-90 ans</t>
  </si>
  <si>
    <t xml:space="preserve">91-95 ans</t>
  </si>
  <si>
    <t xml:space="preserve">TOTAL 80+</t>
  </si>
  <si>
    <t xml:space="preserve">—</t>
  </si>
  <si>
    <t xml:space="preserve">2. Analyse de rentabilité du recalibrage</t>
  </si>
  <si>
    <t xml:space="preserve">Taux résil.
actuel</t>
  </si>
  <si>
    <t xml:space="preserve">Taux résil.
estimé post-recal.</t>
  </si>
  <si>
    <t xml:space="preserve">Contrats
retenus</t>
  </si>
  <si>
    <t xml:space="preserve">Prime AN moy.
(€ / contrat)</t>
  </si>
  <si>
    <t xml:space="preserve">Durée vie résid.
estimée (ans)</t>
  </si>
  <si>
    <t xml:space="preserve">Gain rétention
estimé (€)</t>
  </si>
  <si>
    <t xml:space="preserve">ROI
(Gain / Perte)</t>
  </si>
  <si>
    <t xml:space="preserve">Notes méthodologiques :</t>
  </si>
  <si>
    <t xml:space="preserve">  •  CT agrégé = Σ Prime Portefeuille / Σ Prime Affaires Nouvelles par segment</t>
  </si>
  <si>
    <t xml:space="preserve">  •  Perte = Σ Prime Ptf actuelle − Σ Prime Ptf cible (= Σ Prime AN × CT cible)</t>
  </si>
  <si>
    <t xml:space="preserve">  •  Le CT cible de 1.25 est paramétrable en cellule H7 — toutes les formules se recalculent automatiquement</t>
  </si>
  <si>
    <t xml:space="preserve">  •  Taux de résiliation estimé post-recalibrage basé sur l'élasticité prix observée sur les segments comparables</t>
  </si>
  <si>
    <t xml:space="preserve">  •  Gain rétention = Contrats retenus × Prime AN moyenne × Durée de vie résiduelle estimée</t>
  </si>
  <si>
    <t xml:space="preserve">  •  ROI &gt; 1.0x signifie que le gain en rétention couvre la perte de prime — le recalibrage est rentable net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</si>
</sst>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€&quot;"/>
    <numFmt numFmtId="166" formatCode="0.000"/>
    <numFmt numFmtId="167" formatCode="#,##0"/>
    <numFmt numFmtId="168" formatCode="0.00"/>
    <numFmt numFmtId="169" formatCode="0.00%"/>
    <numFmt numFmtId="170" formatCode="0.000%"/>
    <numFmt numFmtId="171" formatCode="0.0%"/>
    <numFmt numFmtId="172" formatCode="0.0"/>
    <numFmt numFmtId="173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447"/>
      <name val="Arial"/>
      <family val="0"/>
      <charset val="1"/>
    </font>
    <font>
      <i val="true"/>
      <sz val="11"/>
      <color rgb="FF6B7B8D"/>
      <name val="Arial"/>
      <family val="0"/>
      <charset val="1"/>
    </font>
    <font>
      <i val="true"/>
      <sz val="9"/>
      <color rgb="FF8FA3B8"/>
      <name val="Arial"/>
      <family val="0"/>
      <charset val="1"/>
    </font>
    <font>
      <sz val="10"/>
      <color rgb="FF6B7B8D"/>
      <name val="Arial"/>
      <family val="0"/>
      <charset val="1"/>
    </font>
    <font>
      <b val="true"/>
      <sz val="13"/>
      <color rgb="FF0B2447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1"/>
      <color rgb="FF0B24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2D3F"/>
      <name val="Arial"/>
      <family val="0"/>
      <charset val="1"/>
    </font>
    <font>
      <sz val="10"/>
      <color rgb="FF1C2D3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E7D5B"/>
      <name val="Arial"/>
      <family val="0"/>
      <charset val="1"/>
    </font>
    <font>
      <b val="true"/>
      <sz val="10"/>
      <color rgb="FF0B2447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2E7D5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EEF4"/>
        <bgColor rgb="FFE8F4E8"/>
      </patternFill>
    </fill>
    <fill>
      <patternFill patternType="solid">
        <fgColor rgb="FFFFF3E6"/>
        <bgColor rgb="FFFFF0F0"/>
      </patternFill>
    </fill>
    <fill>
      <patternFill patternType="solid">
        <fgColor rgb="FF0B2447"/>
        <bgColor rgb="FF1C2D3F"/>
      </patternFill>
    </fill>
    <fill>
      <patternFill patternType="solid">
        <fgColor rgb="FFF7F5F0"/>
        <bgColor rgb="FFFFF3E6"/>
      </patternFill>
    </fill>
    <fill>
      <patternFill patternType="solid">
        <fgColor rgb="FFFFF0F0"/>
        <bgColor rgb="FFFFF3E6"/>
      </patternFill>
    </fill>
    <fill>
      <patternFill patternType="solid">
        <fgColor rgb="FFE8F4E8"/>
        <bgColor rgb="FFE8EEF4"/>
      </patternFill>
    </fill>
    <fill>
      <patternFill patternType="solid">
        <fgColor rgb="FFFFFFFF"/>
        <bgColor rgb="FFF7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B8D"/>
      <rgbColor rgb="FF9999FF"/>
      <rgbColor rgb="FF993366"/>
      <rgbColor rgb="FFFFF3E6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F7F5F0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FA3B8"/>
      <rgbColor rgb="FF0B2447"/>
      <rgbColor rgb="FF2E7D5B"/>
      <rgbColor rgb="FF003300"/>
      <rgbColor rgb="FF333300"/>
      <rgbColor rgb="FFC0392B"/>
      <rgbColor rgb="FF993366"/>
      <rgbColor rgb="FF333399"/>
      <rgbColor rgb="FF1C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1" min="10" style="0" width="16"/>
    <col collapsed="false" customWidth="true" hidden="false" outlineLevel="0" max="12" min="12" style="0" width="11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true" outlineLevel="0" collapsed="false">
      <c r="B6" s="4" t="s">
        <v>3</v>
      </c>
      <c r="C6" s="4"/>
      <c r="D6" s="4" t="s">
        <v>4</v>
      </c>
      <c r="E6" s="4"/>
      <c r="F6" s="4" t="s">
        <v>5</v>
      </c>
      <c r="G6" s="4"/>
      <c r="H6" s="4" t="s">
        <v>6</v>
      </c>
      <c r="I6" s="4"/>
    </row>
    <row r="7" customFormat="false" ht="16.15" hidden="false" customHeight="false" outlineLevel="0" collapsed="false">
      <c r="B7" s="5" t="n">
        <v>45200000</v>
      </c>
      <c r="C7" s="5"/>
      <c r="D7" s="6" t="n">
        <v>1.164</v>
      </c>
      <c r="E7" s="6"/>
      <c r="F7" s="7" t="n">
        <v>80000</v>
      </c>
      <c r="G7" s="7"/>
      <c r="H7" s="8" t="n">
        <v>1.25</v>
      </c>
      <c r="I7" s="8"/>
    </row>
    <row r="9" customFormat="false" ht="15" hidden="false" customHeight="false" outlineLevel="0" collapsed="false">
      <c r="B9" s="9" t="s">
        <v>7</v>
      </c>
    </row>
    <row r="10" customFormat="false" ht="23.85" hidden="false" customHeight="false" outlineLevel="0" collapsed="false"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</row>
    <row r="11" customFormat="false" ht="15" hidden="false" customHeight="false" outlineLevel="0" collapsed="false">
      <c r="B11" s="11" t="s">
        <v>19</v>
      </c>
      <c r="C11" s="12" t="n">
        <v>835</v>
      </c>
      <c r="D11" s="13" t="n">
        <f aca="false">C11/$F$7</f>
        <v>0.0104375</v>
      </c>
      <c r="E11" s="14" t="n">
        <v>424415</v>
      </c>
      <c r="F11" s="15" t="n">
        <v>1.263</v>
      </c>
      <c r="G11" s="14" t="n">
        <f aca="false">E11*F11</f>
        <v>536036.145</v>
      </c>
      <c r="H11" s="16" t="n">
        <f aca="false">$H$7</f>
        <v>1.25</v>
      </c>
      <c r="I11" s="17" t="n">
        <f aca="false">E11*H11</f>
        <v>530518.75</v>
      </c>
      <c r="J11" s="18" t="n">
        <f aca="false">G11-I11</f>
        <v>5517.3949999999</v>
      </c>
      <c r="K11" s="19" t="n">
        <f aca="false">J11/$B$7</f>
        <v>0.000122066261061945</v>
      </c>
      <c r="L11" s="20" t="n">
        <f aca="false">F11-H11</f>
        <v>0.0129999999999999</v>
      </c>
    </row>
    <row r="12" customFormat="false" ht="15" hidden="false" customHeight="false" outlineLevel="0" collapsed="false">
      <c r="B12" s="21" t="s">
        <v>20</v>
      </c>
      <c r="C12" s="22" t="n">
        <v>418</v>
      </c>
      <c r="D12" s="23" t="n">
        <f aca="false">C12/$F$7</f>
        <v>0.005225</v>
      </c>
      <c r="E12" s="24" t="n">
        <v>220039</v>
      </c>
      <c r="F12" s="15" t="n">
        <v>1.285</v>
      </c>
      <c r="G12" s="24" t="n">
        <f aca="false">E12*F12</f>
        <v>282750.115</v>
      </c>
      <c r="H12" s="16" t="n">
        <f aca="false">$H$7</f>
        <v>1.25</v>
      </c>
      <c r="I12" s="17" t="n">
        <f aca="false">E12*H12</f>
        <v>275048.75</v>
      </c>
      <c r="J12" s="18" t="n">
        <f aca="false">G12-I12</f>
        <v>7701.36499999999</v>
      </c>
      <c r="K12" s="19" t="n">
        <f aca="false">J12/$B$7</f>
        <v>0.000170384181415929</v>
      </c>
      <c r="L12" s="20" t="n">
        <f aca="false">F12-H12</f>
        <v>0.0349999999999999</v>
      </c>
    </row>
    <row r="13" customFormat="false" ht="15" hidden="false" customHeight="false" outlineLevel="0" collapsed="false">
      <c r="B13" s="11" t="s">
        <v>21</v>
      </c>
      <c r="C13" s="12" t="n">
        <v>166</v>
      </c>
      <c r="D13" s="13" t="n">
        <f aca="false">C13/$F$7</f>
        <v>0.002075</v>
      </c>
      <c r="E13" s="14" t="n">
        <v>90078</v>
      </c>
      <c r="F13" s="15" t="n">
        <v>1.312</v>
      </c>
      <c r="G13" s="14" t="n">
        <f aca="false">E13*F13</f>
        <v>118182.336</v>
      </c>
      <c r="H13" s="16" t="n">
        <f aca="false">$H$7</f>
        <v>1.25</v>
      </c>
      <c r="I13" s="17" t="n">
        <f aca="false">E13*H13</f>
        <v>112597.5</v>
      </c>
      <c r="J13" s="18" t="n">
        <f aca="false">G13-I13</f>
        <v>5584.83600000001</v>
      </c>
      <c r="K13" s="19" t="n">
        <f aca="false">J13/$B$7</f>
        <v>0.000123558318584071</v>
      </c>
      <c r="L13" s="20" t="n">
        <f aca="false">F13-H13</f>
        <v>0.0620000000000001</v>
      </c>
    </row>
    <row r="14" customFormat="false" ht="15" hidden="false" customHeight="false" outlineLevel="0" collapsed="false">
      <c r="B14" s="25" t="s">
        <v>22</v>
      </c>
      <c r="C14" s="26" t="n">
        <f aca="false">SUM(C11:C13)</f>
        <v>1419</v>
      </c>
      <c r="D14" s="27" t="n">
        <f aca="false">SUM(D11:D13)</f>
        <v>0.0177375</v>
      </c>
      <c r="E14" s="28" t="n">
        <f aca="false">SUM(E11:E13)</f>
        <v>734532</v>
      </c>
      <c r="F14" s="29" t="n">
        <f aca="false">G14/E14</f>
        <v>1.27559942385083</v>
      </c>
      <c r="G14" s="28" t="n">
        <f aca="false">SUM(G11:G13)</f>
        <v>936968.596</v>
      </c>
      <c r="H14" s="25" t="s">
        <v>23</v>
      </c>
      <c r="I14" s="28" t="n">
        <f aca="false">SUM(I11:I13)</f>
        <v>918165</v>
      </c>
      <c r="J14" s="30" t="n">
        <f aca="false">SUM(J11:J13)</f>
        <v>18803.5959999999</v>
      </c>
      <c r="K14" s="31" t="n">
        <f aca="false">J14/$B$7</f>
        <v>0.000416008761061945</v>
      </c>
      <c r="L14" s="32" t="n">
        <f aca="false">F14-$H$7</f>
        <v>0.0255994238508328</v>
      </c>
    </row>
    <row r="17" customFormat="false" ht="15" hidden="false" customHeight="false" outlineLevel="0" collapsed="false">
      <c r="B17" s="9" t="s">
        <v>24</v>
      </c>
    </row>
    <row r="18" customFormat="false" ht="35.05" hidden="false" customHeight="false" outlineLevel="0" collapsed="false">
      <c r="B18" s="10" t="s">
        <v>8</v>
      </c>
      <c r="C18" s="10" t="s">
        <v>25</v>
      </c>
      <c r="D18" s="10" t="s">
        <v>26</v>
      </c>
      <c r="E18" s="10" t="s">
        <v>27</v>
      </c>
      <c r="F18" s="10" t="s">
        <v>28</v>
      </c>
      <c r="G18" s="10" t="s">
        <v>29</v>
      </c>
      <c r="H18" s="10" t="s">
        <v>30</v>
      </c>
      <c r="I18" s="10" t="s">
        <v>31</v>
      </c>
    </row>
    <row r="19" customFormat="false" ht="15" hidden="false" customHeight="false" outlineLevel="0" collapsed="false">
      <c r="B19" s="11" t="s">
        <v>19</v>
      </c>
      <c r="C19" s="33" t="n">
        <v>0.18</v>
      </c>
      <c r="D19" s="34" t="n">
        <v>0.12</v>
      </c>
      <c r="E19" s="12" t="n">
        <f aca="false">C11*(C19-D19)</f>
        <v>50.1</v>
      </c>
      <c r="F19" s="14" t="n">
        <v>508</v>
      </c>
      <c r="G19" s="35" t="n">
        <v>3.5</v>
      </c>
      <c r="H19" s="36" t="n">
        <f aca="false">E19*F19*G19</f>
        <v>89077.8</v>
      </c>
      <c r="I19" s="37" t="n">
        <f aca="false">IF(J11=0,"-",H19/J11)</f>
        <v>16.1449017153932</v>
      </c>
    </row>
    <row r="20" customFormat="false" ht="15" hidden="false" customHeight="false" outlineLevel="0" collapsed="false">
      <c r="B20" s="21" t="s">
        <v>20</v>
      </c>
      <c r="C20" s="33" t="n">
        <v>0.22</v>
      </c>
      <c r="D20" s="34" t="n">
        <v>0.14</v>
      </c>
      <c r="E20" s="22" t="n">
        <f aca="false">C12*(C20-D20)</f>
        <v>33.44</v>
      </c>
      <c r="F20" s="24" t="n">
        <v>527</v>
      </c>
      <c r="G20" s="38" t="n">
        <v>2.8</v>
      </c>
      <c r="H20" s="36" t="n">
        <f aca="false">E20*F20*G20</f>
        <v>49344.064</v>
      </c>
      <c r="I20" s="39" t="n">
        <f aca="false">IF(J12=0,"-",H20/J12)</f>
        <v>6.4071841809861</v>
      </c>
    </row>
    <row r="21" customFormat="false" ht="15" hidden="false" customHeight="false" outlineLevel="0" collapsed="false">
      <c r="B21" s="11" t="s">
        <v>21</v>
      </c>
      <c r="C21" s="33" t="n">
        <v>0.28</v>
      </c>
      <c r="D21" s="34" t="n">
        <v>0.17</v>
      </c>
      <c r="E21" s="12" t="n">
        <f aca="false">C13*(C21-D21)</f>
        <v>18.26</v>
      </c>
      <c r="F21" s="14" t="n">
        <v>543</v>
      </c>
      <c r="G21" s="35" t="n">
        <v>2</v>
      </c>
      <c r="H21" s="36" t="n">
        <f aca="false">E21*F21*G21</f>
        <v>19830.36</v>
      </c>
      <c r="I21" s="37" t="n">
        <f aca="false">IF(J13=0,"-",H21/J13)</f>
        <v>3.55075063976811</v>
      </c>
    </row>
    <row r="22" customFormat="false" ht="15" hidden="false" customHeight="false" outlineLevel="0" collapsed="false">
      <c r="B22" s="25" t="s">
        <v>22</v>
      </c>
      <c r="C22" s="25"/>
      <c r="D22" s="25"/>
      <c r="E22" s="26" t="n">
        <f aca="false">SUM(E19:E21)</f>
        <v>101.8</v>
      </c>
      <c r="F22" s="25"/>
      <c r="G22" s="25"/>
      <c r="H22" s="40" t="n">
        <f aca="false">SUM(H19:H21)</f>
        <v>158252.224</v>
      </c>
      <c r="I22" s="41" t="n">
        <f aca="false">IF(J14=0,"-",H22/J14)</f>
        <v>8.41606169373139</v>
      </c>
    </row>
    <row r="24" customFormat="false" ht="15" hidden="false" customHeight="false" outlineLevel="0" collapsed="false">
      <c r="B24" s="9" t="s">
        <v>32</v>
      </c>
    </row>
    <row r="25" customFormat="false" ht="15" hidden="false" customHeight="false" outlineLevel="0" collapsed="false">
      <c r="B25" s="3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B26" s="3" t="s">
        <v>34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B27" s="3" t="s">
        <v>35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B28" s="3" t="s">
        <v>36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B29" s="3" t="s">
        <v>37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B30" s="3" t="s">
        <v>38</v>
      </c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mergeCells count="17">
    <mergeCell ref="B2:L2"/>
    <mergeCell ref="B3:L3"/>
    <mergeCell ref="B4:L4"/>
    <mergeCell ref="B6:C6"/>
    <mergeCell ref="D6:E6"/>
    <mergeCell ref="F6:G6"/>
    <mergeCell ref="H6:I6"/>
    <mergeCell ref="B7:C7"/>
    <mergeCell ref="D7:E7"/>
    <mergeCell ref="F7:G7"/>
    <mergeCell ref="H7:I7"/>
    <mergeCell ref="B25:L25"/>
    <mergeCell ref="B26:L26"/>
    <mergeCell ref="B27:L27"/>
    <mergeCell ref="B28:L28"/>
    <mergeCell ref="B29:L29"/>
    <mergeCell ref="B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2026-03-24T11:07:46Z</dcterms:created>
  <dc:creator>openpyxl</dc:creator>
  <dc:description/>
  <dc:language>en-US</dc:language>
  <cp:lastModifiedBy/>
  <dcterms:modified xsi:type="dcterms:W3CDTF">2026-03-24T11:07:46Z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