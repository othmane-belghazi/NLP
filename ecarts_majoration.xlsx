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 Contrats" sheetId="1" state="visible" r:id="rId3"/>
    <sheet name="Synthèse &amp; KPI" sheetId="2" state="visible" r:id="rId4"/>
    <sheet name="Contrats à Corriger" sheetId="3" state="visible" r:id="rId5"/>
  </sheets>
  <definedNames>
    <definedName function="false" hidden="true" localSheetId="2" name="_xlnm._FilterDatabase" vbProcedure="false">'Contrats à Corriger'!$A$4:$G$304</definedName>
    <definedName function="false" hidden="true" localSheetId="0" name="_xlnm._FilterDatabase" vbProcedure="false">'Données Contrats'!$A$4:$G$304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<sst xmlns="http://schemas.openxmlformats.org/spreadsheetml/2006/main" count="339" uniqueCount="332">
  <si>
    <t xml:space="preserve">Analyse des Écarts de Majoration / Minoration — 300 Contrats</t>
  </si>
  <si>
    <t xml:space="preserve">Coefficients tarifaires : souhaités vs appliqués par IT</t>
  </si>
  <si>
    <t xml:space="preserve">N° Contrat</t>
  </si>
  <si>
    <t xml:space="preserve">Coeff. Souhaité</t>
  </si>
  <si>
    <t xml:space="preserve">Coeff. Appliqué IT</t>
  </si>
  <si>
    <t xml:space="preserve">Écart (coeff)</t>
  </si>
  <si>
    <t xml:space="preserve">Écart (%)</t>
  </si>
  <si>
    <t xml:space="preserve">Statut</t>
  </si>
  <si>
    <t xml:space="preserve">Action Requise</t>
  </si>
  <si>
    <t xml:space="preserve">CTR-10001</t>
  </si>
  <si>
    <t xml:space="preserve">CTR-10002</t>
  </si>
  <si>
    <t xml:space="preserve">CTR-10003</t>
  </si>
  <si>
    <t xml:space="preserve">CTR-10004</t>
  </si>
  <si>
    <t xml:space="preserve">CTR-10005</t>
  </si>
  <si>
    <t xml:space="preserve">CTR-10006</t>
  </si>
  <si>
    <t xml:space="preserve">CTR-10007</t>
  </si>
  <si>
    <t xml:space="preserve">CTR-10008</t>
  </si>
  <si>
    <t xml:space="preserve">CTR-10009</t>
  </si>
  <si>
    <t xml:space="preserve">CTR-10010</t>
  </si>
  <si>
    <t xml:space="preserve">CTR-10011</t>
  </si>
  <si>
    <t xml:space="preserve">CTR-10012</t>
  </si>
  <si>
    <t xml:space="preserve">CTR-10013</t>
  </si>
  <si>
    <t xml:space="preserve">CTR-10014</t>
  </si>
  <si>
    <t xml:space="preserve">CTR-10015</t>
  </si>
  <si>
    <t xml:space="preserve">CTR-10016</t>
  </si>
  <si>
    <t xml:space="preserve">CTR-10017</t>
  </si>
  <si>
    <t xml:space="preserve">CTR-10018</t>
  </si>
  <si>
    <t xml:space="preserve">CTR-10019</t>
  </si>
  <si>
    <t xml:space="preserve">CTR-10020</t>
  </si>
  <si>
    <t xml:space="preserve">CTR-10021</t>
  </si>
  <si>
    <t xml:space="preserve">CTR-10022</t>
  </si>
  <si>
    <t xml:space="preserve">CTR-10023</t>
  </si>
  <si>
    <t xml:space="preserve">CTR-10024</t>
  </si>
  <si>
    <t xml:space="preserve">CTR-10025</t>
  </si>
  <si>
    <t xml:space="preserve">CTR-10026</t>
  </si>
  <si>
    <t xml:space="preserve">CTR-10027</t>
  </si>
  <si>
    <t xml:space="preserve">CTR-10028</t>
  </si>
  <si>
    <t xml:space="preserve">CTR-10029</t>
  </si>
  <si>
    <t xml:space="preserve">CTR-10030</t>
  </si>
  <si>
    <t xml:space="preserve">CTR-10031</t>
  </si>
  <si>
    <t xml:space="preserve">CTR-10032</t>
  </si>
  <si>
    <t xml:space="preserve">CTR-10033</t>
  </si>
  <si>
    <t xml:space="preserve">CTR-10034</t>
  </si>
  <si>
    <t xml:space="preserve">CTR-10035</t>
  </si>
  <si>
    <t xml:space="preserve">CTR-10036</t>
  </si>
  <si>
    <t xml:space="preserve">CTR-10037</t>
  </si>
  <si>
    <t xml:space="preserve">CTR-10038</t>
  </si>
  <si>
    <t xml:space="preserve">CTR-10039</t>
  </si>
  <si>
    <t xml:space="preserve">CTR-10040</t>
  </si>
  <si>
    <t xml:space="preserve">CTR-10041</t>
  </si>
  <si>
    <t xml:space="preserve">CTR-10042</t>
  </si>
  <si>
    <t xml:space="preserve">CTR-10043</t>
  </si>
  <si>
    <t xml:space="preserve">CTR-10044</t>
  </si>
  <si>
    <t xml:space="preserve">CTR-10045</t>
  </si>
  <si>
    <t xml:space="preserve">CTR-10046</t>
  </si>
  <si>
    <t xml:space="preserve">CTR-10047</t>
  </si>
  <si>
    <t xml:space="preserve">CTR-10048</t>
  </si>
  <si>
    <t xml:space="preserve">CTR-10049</t>
  </si>
  <si>
    <t xml:space="preserve">CTR-10050</t>
  </si>
  <si>
    <t xml:space="preserve">CTR-10051</t>
  </si>
  <si>
    <t xml:space="preserve">CTR-10052</t>
  </si>
  <si>
    <t xml:space="preserve">CTR-10053</t>
  </si>
  <si>
    <t xml:space="preserve">CTR-10054</t>
  </si>
  <si>
    <t xml:space="preserve">CTR-10055</t>
  </si>
  <si>
    <t xml:space="preserve">CTR-10056</t>
  </si>
  <si>
    <t xml:space="preserve">CTR-10057</t>
  </si>
  <si>
    <t xml:space="preserve">CTR-10058</t>
  </si>
  <si>
    <t xml:space="preserve">CTR-10059</t>
  </si>
  <si>
    <t xml:space="preserve">CTR-10060</t>
  </si>
  <si>
    <t xml:space="preserve">CTR-10061</t>
  </si>
  <si>
    <t xml:space="preserve">CTR-10062</t>
  </si>
  <si>
    <t xml:space="preserve">CTR-10063</t>
  </si>
  <si>
    <t xml:space="preserve">CTR-10064</t>
  </si>
  <si>
    <t xml:space="preserve">CTR-10065</t>
  </si>
  <si>
    <t xml:space="preserve">CTR-10066</t>
  </si>
  <si>
    <t xml:space="preserve">CTR-10067</t>
  </si>
  <si>
    <t xml:space="preserve">CTR-10068</t>
  </si>
  <si>
    <t xml:space="preserve">CTR-10069</t>
  </si>
  <si>
    <t xml:space="preserve">CTR-10070</t>
  </si>
  <si>
    <t xml:space="preserve">CTR-10071</t>
  </si>
  <si>
    <t xml:space="preserve">CTR-10072</t>
  </si>
  <si>
    <t xml:space="preserve">CTR-10073</t>
  </si>
  <si>
    <t xml:space="preserve">CTR-10074</t>
  </si>
  <si>
    <t xml:space="preserve">CTR-10075</t>
  </si>
  <si>
    <t xml:space="preserve">CTR-10076</t>
  </si>
  <si>
    <t xml:space="preserve">CTR-10077</t>
  </si>
  <si>
    <t xml:space="preserve">CTR-10078</t>
  </si>
  <si>
    <t xml:space="preserve">CTR-10079</t>
  </si>
  <si>
    <t xml:space="preserve">CTR-10080</t>
  </si>
  <si>
    <t xml:space="preserve">CTR-10081</t>
  </si>
  <si>
    <t xml:space="preserve">CTR-10082</t>
  </si>
  <si>
    <t xml:space="preserve">CTR-10083</t>
  </si>
  <si>
    <t xml:space="preserve">CTR-10084</t>
  </si>
  <si>
    <t xml:space="preserve">CTR-10085</t>
  </si>
  <si>
    <t xml:space="preserve">CTR-10086</t>
  </si>
  <si>
    <t xml:space="preserve">CTR-10087</t>
  </si>
  <si>
    <t xml:space="preserve">CTR-10088</t>
  </si>
  <si>
    <t xml:space="preserve">CTR-10089</t>
  </si>
  <si>
    <t xml:space="preserve">CTR-10090</t>
  </si>
  <si>
    <t xml:space="preserve">CTR-10091</t>
  </si>
  <si>
    <t xml:space="preserve">CTR-10092</t>
  </si>
  <si>
    <t xml:space="preserve">CTR-10093</t>
  </si>
  <si>
    <t xml:space="preserve">CTR-10094</t>
  </si>
  <si>
    <t xml:space="preserve">CTR-10095</t>
  </si>
  <si>
    <t xml:space="preserve">CTR-10096</t>
  </si>
  <si>
    <t xml:space="preserve">CTR-10097</t>
  </si>
  <si>
    <t xml:space="preserve">CTR-10098</t>
  </si>
  <si>
    <t xml:space="preserve">CTR-10099</t>
  </si>
  <si>
    <t xml:space="preserve">CTR-10100</t>
  </si>
  <si>
    <t xml:space="preserve">CTR-10101</t>
  </si>
  <si>
    <t xml:space="preserve">CTR-10102</t>
  </si>
  <si>
    <t xml:space="preserve">CTR-10103</t>
  </si>
  <si>
    <t xml:space="preserve">CTR-10104</t>
  </si>
  <si>
    <t xml:space="preserve">CTR-10105</t>
  </si>
  <si>
    <t xml:space="preserve">CTR-10106</t>
  </si>
  <si>
    <t xml:space="preserve">CTR-10107</t>
  </si>
  <si>
    <t xml:space="preserve">CTR-10108</t>
  </si>
  <si>
    <t xml:space="preserve">CTR-10109</t>
  </si>
  <si>
    <t xml:space="preserve">CTR-10110</t>
  </si>
  <si>
    <t xml:space="preserve">CTR-10111</t>
  </si>
  <si>
    <t xml:space="preserve">CTR-10112</t>
  </si>
  <si>
    <t xml:space="preserve">CTR-10113</t>
  </si>
  <si>
    <t xml:space="preserve">CTR-10114</t>
  </si>
  <si>
    <t xml:space="preserve">CTR-10115</t>
  </si>
  <si>
    <t xml:space="preserve">CTR-10116</t>
  </si>
  <si>
    <t xml:space="preserve">CTR-10117</t>
  </si>
  <si>
    <t xml:space="preserve">CTR-10118</t>
  </si>
  <si>
    <t xml:space="preserve">CTR-10119</t>
  </si>
  <si>
    <t xml:space="preserve">CTR-10120</t>
  </si>
  <si>
    <t xml:space="preserve">CTR-10121</t>
  </si>
  <si>
    <t xml:space="preserve">CTR-10122</t>
  </si>
  <si>
    <t xml:space="preserve">CTR-10123</t>
  </si>
  <si>
    <t xml:space="preserve">CTR-10124</t>
  </si>
  <si>
    <t xml:space="preserve">CTR-10125</t>
  </si>
  <si>
    <t xml:space="preserve">CTR-10126</t>
  </si>
  <si>
    <t xml:space="preserve">CTR-10127</t>
  </si>
  <si>
    <t xml:space="preserve">CTR-10128</t>
  </si>
  <si>
    <t xml:space="preserve">CTR-10129</t>
  </si>
  <si>
    <t xml:space="preserve">CTR-10130</t>
  </si>
  <si>
    <t xml:space="preserve">CTR-10131</t>
  </si>
  <si>
    <t xml:space="preserve">CTR-10132</t>
  </si>
  <si>
    <t xml:space="preserve">CTR-10133</t>
  </si>
  <si>
    <t xml:space="preserve">CTR-10134</t>
  </si>
  <si>
    <t xml:space="preserve">CTR-10135</t>
  </si>
  <si>
    <t xml:space="preserve">CTR-10136</t>
  </si>
  <si>
    <t xml:space="preserve">CTR-10137</t>
  </si>
  <si>
    <t xml:space="preserve">CTR-10138</t>
  </si>
  <si>
    <t xml:space="preserve">CTR-10139</t>
  </si>
  <si>
    <t xml:space="preserve">CTR-10140</t>
  </si>
  <si>
    <t xml:space="preserve">CTR-10141</t>
  </si>
  <si>
    <t xml:space="preserve">CTR-10142</t>
  </si>
  <si>
    <t xml:space="preserve">CTR-10143</t>
  </si>
  <si>
    <t xml:space="preserve">CTR-10144</t>
  </si>
  <si>
    <t xml:space="preserve">CTR-10145</t>
  </si>
  <si>
    <t xml:space="preserve">CTR-10146</t>
  </si>
  <si>
    <t xml:space="preserve">CTR-10147</t>
  </si>
  <si>
    <t xml:space="preserve">CTR-10148</t>
  </si>
  <si>
    <t xml:space="preserve">CTR-10149</t>
  </si>
  <si>
    <t xml:space="preserve">CTR-10150</t>
  </si>
  <si>
    <t xml:space="preserve">CTR-10151</t>
  </si>
  <si>
    <t xml:space="preserve">CTR-10152</t>
  </si>
  <si>
    <t xml:space="preserve">CTR-10153</t>
  </si>
  <si>
    <t xml:space="preserve">CTR-10154</t>
  </si>
  <si>
    <t xml:space="preserve">CTR-10155</t>
  </si>
  <si>
    <t xml:space="preserve">CTR-10156</t>
  </si>
  <si>
    <t xml:space="preserve">CTR-10157</t>
  </si>
  <si>
    <t xml:space="preserve">CTR-10158</t>
  </si>
  <si>
    <t xml:space="preserve">CTR-10159</t>
  </si>
  <si>
    <t xml:space="preserve">CTR-10160</t>
  </si>
  <si>
    <t xml:space="preserve">CTR-10161</t>
  </si>
  <si>
    <t xml:space="preserve">CTR-10162</t>
  </si>
  <si>
    <t xml:space="preserve">CTR-10163</t>
  </si>
  <si>
    <t xml:space="preserve">CTR-10164</t>
  </si>
  <si>
    <t xml:space="preserve">CTR-10165</t>
  </si>
  <si>
    <t xml:space="preserve">CTR-10166</t>
  </si>
  <si>
    <t xml:space="preserve">CTR-10167</t>
  </si>
  <si>
    <t xml:space="preserve">CTR-10168</t>
  </si>
  <si>
    <t xml:space="preserve">CTR-10169</t>
  </si>
  <si>
    <t xml:space="preserve">CTR-10170</t>
  </si>
  <si>
    <t xml:space="preserve">CTR-10171</t>
  </si>
  <si>
    <t xml:space="preserve">CTR-10172</t>
  </si>
  <si>
    <t xml:space="preserve">CTR-10173</t>
  </si>
  <si>
    <t xml:space="preserve">CTR-10174</t>
  </si>
  <si>
    <t xml:space="preserve">CTR-10175</t>
  </si>
  <si>
    <t xml:space="preserve">CTR-10176</t>
  </si>
  <si>
    <t xml:space="preserve">CTR-10177</t>
  </si>
  <si>
    <t xml:space="preserve">CTR-10178</t>
  </si>
  <si>
    <t xml:space="preserve">CTR-10179</t>
  </si>
  <si>
    <t xml:space="preserve">CTR-10180</t>
  </si>
  <si>
    <t xml:space="preserve">CTR-10181</t>
  </si>
  <si>
    <t xml:space="preserve">CTR-10182</t>
  </si>
  <si>
    <t xml:space="preserve">CTR-10183</t>
  </si>
  <si>
    <t xml:space="preserve">CTR-10184</t>
  </si>
  <si>
    <t xml:space="preserve">CTR-10185</t>
  </si>
  <si>
    <t xml:space="preserve">CTR-10186</t>
  </si>
  <si>
    <t xml:space="preserve">CTR-10187</t>
  </si>
  <si>
    <t xml:space="preserve">CTR-10188</t>
  </si>
  <si>
    <t xml:space="preserve">CTR-10189</t>
  </si>
  <si>
    <t xml:space="preserve">CTR-10190</t>
  </si>
  <si>
    <t xml:space="preserve">CTR-10191</t>
  </si>
  <si>
    <t xml:space="preserve">CTR-10192</t>
  </si>
  <si>
    <t xml:space="preserve">CTR-10193</t>
  </si>
  <si>
    <t xml:space="preserve">CTR-10194</t>
  </si>
  <si>
    <t xml:space="preserve">CTR-10195</t>
  </si>
  <si>
    <t xml:space="preserve">CTR-10196</t>
  </si>
  <si>
    <t xml:space="preserve">CTR-10197</t>
  </si>
  <si>
    <t xml:space="preserve">CTR-10198</t>
  </si>
  <si>
    <t xml:space="preserve">CTR-10199</t>
  </si>
  <si>
    <t xml:space="preserve">CTR-10200</t>
  </si>
  <si>
    <t xml:space="preserve">CTR-10201</t>
  </si>
  <si>
    <t xml:space="preserve">CTR-10202</t>
  </si>
  <si>
    <t xml:space="preserve">CTR-10203</t>
  </si>
  <si>
    <t xml:space="preserve">CTR-10204</t>
  </si>
  <si>
    <t xml:space="preserve">CTR-10205</t>
  </si>
  <si>
    <t xml:space="preserve">CTR-10206</t>
  </si>
  <si>
    <t xml:space="preserve">CTR-10207</t>
  </si>
  <si>
    <t xml:space="preserve">CTR-10208</t>
  </si>
  <si>
    <t xml:space="preserve">CTR-10209</t>
  </si>
  <si>
    <t xml:space="preserve">CTR-10210</t>
  </si>
  <si>
    <t xml:space="preserve">CTR-10211</t>
  </si>
  <si>
    <t xml:space="preserve">CTR-10212</t>
  </si>
  <si>
    <t xml:space="preserve">CTR-10213</t>
  </si>
  <si>
    <t xml:space="preserve">CTR-10214</t>
  </si>
  <si>
    <t xml:space="preserve">CTR-10215</t>
  </si>
  <si>
    <t xml:space="preserve">CTR-10216</t>
  </si>
  <si>
    <t xml:space="preserve">CTR-10217</t>
  </si>
  <si>
    <t xml:space="preserve">CTR-10218</t>
  </si>
  <si>
    <t xml:space="preserve">CTR-10219</t>
  </si>
  <si>
    <t xml:space="preserve">CTR-10220</t>
  </si>
  <si>
    <t xml:space="preserve">CTR-10221</t>
  </si>
  <si>
    <t xml:space="preserve">CTR-10222</t>
  </si>
  <si>
    <t xml:space="preserve">CTR-10223</t>
  </si>
  <si>
    <t xml:space="preserve">CTR-10224</t>
  </si>
  <si>
    <t xml:space="preserve">CTR-10225</t>
  </si>
  <si>
    <t xml:space="preserve">CTR-10226</t>
  </si>
  <si>
    <t xml:space="preserve">CTR-10227</t>
  </si>
  <si>
    <t xml:space="preserve">CTR-10228</t>
  </si>
  <si>
    <t xml:space="preserve">CTR-10229</t>
  </si>
  <si>
    <t xml:space="preserve">CTR-10230</t>
  </si>
  <si>
    <t xml:space="preserve">CTR-10231</t>
  </si>
  <si>
    <t xml:space="preserve">CTR-10232</t>
  </si>
  <si>
    <t xml:space="preserve">CTR-10233</t>
  </si>
  <si>
    <t xml:space="preserve">CTR-10234</t>
  </si>
  <si>
    <t xml:space="preserve">CTR-10235</t>
  </si>
  <si>
    <t xml:space="preserve">CTR-10236</t>
  </si>
  <si>
    <t xml:space="preserve">CTR-10237</t>
  </si>
  <si>
    <t xml:space="preserve">CTR-10238</t>
  </si>
  <si>
    <t xml:space="preserve">CTR-10239</t>
  </si>
  <si>
    <t xml:space="preserve">CTR-10240</t>
  </si>
  <si>
    <t xml:space="preserve">CTR-10241</t>
  </si>
  <si>
    <t xml:space="preserve">CTR-10242</t>
  </si>
  <si>
    <t xml:space="preserve">CTR-10243</t>
  </si>
  <si>
    <t xml:space="preserve">CTR-10244</t>
  </si>
  <si>
    <t xml:space="preserve">CTR-10245</t>
  </si>
  <si>
    <t xml:space="preserve">CTR-10246</t>
  </si>
  <si>
    <t xml:space="preserve">CTR-10247</t>
  </si>
  <si>
    <t xml:space="preserve">CTR-10248</t>
  </si>
  <si>
    <t xml:space="preserve">CTR-10249</t>
  </si>
  <si>
    <t xml:space="preserve">CTR-10250</t>
  </si>
  <si>
    <t xml:space="preserve">CTR-10251</t>
  </si>
  <si>
    <t xml:space="preserve">CTR-10252</t>
  </si>
  <si>
    <t xml:space="preserve">CTR-10253</t>
  </si>
  <si>
    <t xml:space="preserve">CTR-10254</t>
  </si>
  <si>
    <t xml:space="preserve">CTR-10255</t>
  </si>
  <si>
    <t xml:space="preserve">CTR-10256</t>
  </si>
  <si>
    <t xml:space="preserve">CTR-10257</t>
  </si>
  <si>
    <t xml:space="preserve">CTR-10258</t>
  </si>
  <si>
    <t xml:space="preserve">CTR-10259</t>
  </si>
  <si>
    <t xml:space="preserve">CTR-10260</t>
  </si>
  <si>
    <t xml:space="preserve">CTR-10261</t>
  </si>
  <si>
    <t xml:space="preserve">CTR-10262</t>
  </si>
  <si>
    <t xml:space="preserve">CTR-10263</t>
  </si>
  <si>
    <t xml:space="preserve">CTR-10264</t>
  </si>
  <si>
    <t xml:space="preserve">CTR-10265</t>
  </si>
  <si>
    <t xml:space="preserve">CTR-10266</t>
  </si>
  <si>
    <t xml:space="preserve">CTR-10267</t>
  </si>
  <si>
    <t xml:space="preserve">CTR-10268</t>
  </si>
  <si>
    <t xml:space="preserve">CTR-10269</t>
  </si>
  <si>
    <t xml:space="preserve">CTR-10270</t>
  </si>
  <si>
    <t xml:space="preserve">CTR-10271</t>
  </si>
  <si>
    <t xml:space="preserve">CTR-10272</t>
  </si>
  <si>
    <t xml:space="preserve">CTR-10273</t>
  </si>
  <si>
    <t xml:space="preserve">CTR-10274</t>
  </si>
  <si>
    <t xml:space="preserve">CTR-10275</t>
  </si>
  <si>
    <t xml:space="preserve">CTR-10276</t>
  </si>
  <si>
    <t xml:space="preserve">CTR-10277</t>
  </si>
  <si>
    <t xml:space="preserve">CTR-10278</t>
  </si>
  <si>
    <t xml:space="preserve">CTR-10279</t>
  </si>
  <si>
    <t xml:space="preserve">CTR-10280</t>
  </si>
  <si>
    <t xml:space="preserve">CTR-10281</t>
  </si>
  <si>
    <t xml:space="preserve">CTR-10282</t>
  </si>
  <si>
    <t xml:space="preserve">CTR-10283</t>
  </si>
  <si>
    <t xml:space="preserve">CTR-10284</t>
  </si>
  <si>
    <t xml:space="preserve">CTR-10285</t>
  </si>
  <si>
    <t xml:space="preserve">CTR-10286</t>
  </si>
  <si>
    <t xml:space="preserve">CTR-10287</t>
  </si>
  <si>
    <t xml:space="preserve">CTR-10288</t>
  </si>
  <si>
    <t xml:space="preserve">CTR-10289</t>
  </si>
  <si>
    <t xml:space="preserve">CTR-10290</t>
  </si>
  <si>
    <t xml:space="preserve">CTR-10291</t>
  </si>
  <si>
    <t xml:space="preserve">CTR-10292</t>
  </si>
  <si>
    <t xml:space="preserve">CTR-10293</t>
  </si>
  <si>
    <t xml:space="preserve">CTR-10294</t>
  </si>
  <si>
    <t xml:space="preserve">CTR-10295</t>
  </si>
  <si>
    <t xml:space="preserve">CTR-10296</t>
  </si>
  <si>
    <t xml:space="preserve">CTR-10297</t>
  </si>
  <si>
    <t xml:space="preserve">CTR-10298</t>
  </si>
  <si>
    <t xml:space="preserve">CTR-10299</t>
  </si>
  <si>
    <t xml:space="preserve">CTR-10300</t>
  </si>
  <si>
    <t xml:space="preserve">Tableau de Bord — Synthèse des Écarts</t>
  </si>
  <si>
    <t xml:space="preserve">Total Contrats</t>
  </si>
  <si>
    <t xml:space="preserve">Nombre</t>
  </si>
  <si>
    <t xml:space="preserve">Plage Écart</t>
  </si>
  <si>
    <t xml:space="preserve">Nb Contrats</t>
  </si>
  <si>
    <t xml:space="preserve">Contrats OK (aucun écart)</t>
  </si>
  <si>
    <t xml:space="preserve">OK</t>
  </si>
  <si>
    <t xml:space="preserve">0 (OK)</t>
  </si>
  <si>
    <t xml:space="preserve">Écarts Mineurs (≤2%)</t>
  </si>
  <si>
    <t xml:space="preserve">Mineur</t>
  </si>
  <si>
    <t xml:space="preserve">]0 ; 0.01]</t>
  </si>
  <si>
    <t xml:space="preserve">Écarts Critiques (&gt;2%)</t>
  </si>
  <si>
    <t xml:space="preserve">Critique</t>
  </si>
  <si>
    <t xml:space="preserve">]0.01 ; 0.02]</t>
  </si>
  <si>
    <t xml:space="preserve">Taux de Conformité</t>
  </si>
  <si>
    <t xml:space="preserve">]0.02 ; 0.05]</t>
  </si>
  <si>
    <t xml:space="preserve">Écart Moyen Absolu (coeff)</t>
  </si>
  <si>
    <t xml:space="preserve">&gt; 0.05</t>
  </si>
  <si>
    <t xml:space="preserve">Écart Max (coeff)</t>
  </si>
  <si>
    <t xml:space="preserve">&lt; 0 (négatif)</t>
  </si>
  <si>
    <t xml:space="preserve">Liste des Contrats Nécessitant un Ajustement Manuel</t>
  </si>
  <si>
    <t xml:space="preserve">→ Transmettre cette liste à l'équipe IT / opérations pour correction</t>
  </si>
  <si>
    <t xml:space="preserve">Coeff. Cible à Appliquer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</si>
</sst>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0.0000;\-0.0000;\-"/>
    <numFmt numFmtId="167" formatCode="0.00%"/>
    <numFmt numFmtId="168" formatCode="General"/>
    <numFmt numFmtId="169" formatCode="0.0%"/>
    <numFmt numFmtId="170" formatCode="0.0000;0.0000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5C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C62828"/>
      <name val="Arial"/>
      <family val="0"/>
      <charset val="1"/>
    </font>
    <font>
      <b val="true"/>
      <sz val="11"/>
      <color rgb="FFC6282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6E4F0"/>
        <bgColor rgb="FFD9D9D9"/>
      </patternFill>
    </fill>
    <fill>
      <patternFill patternType="solid">
        <fgColor rgb="FFE2EFDA"/>
        <bgColor rgb="FFE8F5E9"/>
      </patternFill>
    </fill>
    <fill>
      <patternFill patternType="solid">
        <fgColor rgb="FFFFF3E0"/>
        <bgColor rgb="FFF5F5F5"/>
      </patternFill>
    </fill>
    <fill>
      <patternFill patternType="solid">
        <fgColor rgb="FFFCE4EC"/>
        <bgColor rgb="FFFFF3E0"/>
      </patternFill>
    </fill>
    <fill>
      <patternFill patternType="solid">
        <fgColor rgb="FFE8F5E9"/>
        <bgColor rgb="FFE2EFDA"/>
      </patternFill>
    </fill>
    <fill>
      <patternFill patternType="solid">
        <fgColor rgb="FFC62828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B3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ont>
        <name val="Arial"/>
        <charset val="1"/>
        <family val="0"/>
        <b val="1"/>
        <color rgb="FF2E7D32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E65100"/>
      </font>
      <fill>
        <patternFill>
          <bgColor rgb="FFFFF3E0"/>
        </patternFill>
      </fill>
    </dxf>
    <dxf>
      <font>
        <name val="Arial"/>
        <charset val="1"/>
        <family val="0"/>
        <b val="1"/>
        <color rgb="FFC62828"/>
      </font>
      <fill>
        <patternFill>
          <bgColor rgb="FFFCE4EC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ont>
        <color rgb="FFCCCCCC"/>
      </font>
      <fill>
        <patternFill>
          <bgColor rgb="FFF5F5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3E0"/>
      <rgbColor rgb="FFE8F5E9"/>
      <rgbColor rgb="FF660066"/>
      <rgbColor rgb="FFE74C3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5F5F5"/>
      <rgbColor rgb="FFF9F9F9"/>
      <rgbColor rgb="FFFF99CC"/>
      <rgbColor rgb="FFCC99FF"/>
      <rgbColor rgb="FFFCE4EC"/>
      <rgbColor rgb="FF4472C4"/>
      <rgbColor rgb="FF33CCCC"/>
      <rgbColor rgb="FF99CC00"/>
      <rgbColor rgb="FFFFCC00"/>
      <rgbColor rgb="FFFF9900"/>
      <rgbColor rgb="FFE65100"/>
      <rgbColor rgb="FF666666"/>
      <rgbColor rgb="FF4F81BD"/>
      <rgbColor rgb="FF1B3A5C"/>
      <rgbColor rgb="FF27AE60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des Statuts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d3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651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c62828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'Synthèse &amp; KPI'!$D$4:$D$6</c:f>
              <c:strCache>
                <c:ptCount val="3"/>
                <c:pt idx="0">
                  <c:v>OK</c:v>
                </c:pt>
                <c:pt idx="1">
                  <c:v>Mineur</c:v>
                </c:pt>
                <c:pt idx="2">
                  <c:v>Critique</c:v>
                </c:pt>
              </c:strCache>
            </c:strRef>
          </c:cat>
          <c:val>
            <c:numRef>
              <c:f>'Synthèse &amp; KPI'!$E$4:$E$6</c:f>
              <c:numCache>
                <c:formatCode>General</c:formatCode>
                <c:ptCount val="3"/>
                <c:pt idx="0">
                  <c:v>238</c:v>
                </c:pt>
                <c:pt idx="1">
                  <c:v>11</c:v>
                </c:pt>
                <c:pt idx="2">
                  <c:v>51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des Écarts (coeff)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'Synthèse &amp; KPI'!H3</c:f>
              <c:strCache>
                <c:ptCount val="1"/>
                <c:pt idx="0">
                  <c:v>Nb Contrats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'Synthèse &amp; KPI'!$G$4:$G$9</c:f>
              <c:strCache>
                <c:ptCount val="6"/>
                <c:pt idx="0">
                  <c:v>0 (OK)</c:v>
                </c:pt>
                <c:pt idx="1">
                  <c:v>]0 ; 0.01]</c:v>
                </c:pt>
                <c:pt idx="2">
                  <c:v>]0.01 ; 0.02]</c:v>
                </c:pt>
                <c:pt idx="3">
                  <c:v>]0.02 ; 0.05]</c:v>
                </c:pt>
                <c:pt idx="4">
                  <c:v>&gt; 0.05</c:v>
                </c:pt>
                <c:pt idx="5">
                  <c:v>&lt; 0 (négatif)</c:v>
                </c:pt>
              </c:strCache>
            </c:strRef>
          </c:cat>
          <c:val>
            <c:numRef>
              <c:f>'Synthèse &amp; KPI'!$H$4:$H$9</c:f>
              <c:numCache>
                <c:formatCode>General</c:formatCode>
                <c:ptCount val="6"/>
                <c:pt idx="0">
                  <c:v>238</c:v>
                </c:pt>
                <c:pt idx="1">
                  <c:v>1</c:v>
                </c:pt>
                <c:pt idx="2">
                  <c:v>4</c:v>
                </c:pt>
                <c:pt idx="3">
                  <c:v>18</c:v>
                </c:pt>
                <c:pt idx="4">
                  <c:v>8</c:v>
                </c:pt>
                <c:pt idx="5">
                  <c:v>31</c:v>
                </c:pt>
              </c:numCache>
            </c:numRef>
          </c:val>
        </c:ser>
        <c:gapWidth val="150"/>
        <c:overlap val="0"/>
        <c:axId val="95673996"/>
        <c:axId val="51680612"/>
      </c:barChart>
      <c:catAx>
        <c:axId val="956739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Plage d'écart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80612"/>
        <c:crosses val="autoZero"/>
        <c:auto val="1"/>
        <c:lblAlgn val="ctr"/>
        <c:lblOffset val="100"/>
        <c:noMultiLvlLbl val="0"/>
      </c:catAx>
      <c:valAx>
        <c:axId val="516806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Nombre de contrats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739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6</xdr:row>
      <xdr:rowOff>70920</xdr:rowOff>
    </xdr:from>
    <xdr:to>
      <xdr:col>8</xdr:col>
      <xdr:colOff>198720</xdr:colOff>
      <xdr:row>24</xdr:row>
      <xdr:rowOff>151920</xdr:rowOff>
    </xdr:to>
    <xdr:graphicFrame>
      <xdr:nvGraphicFramePr>
        <xdr:cNvPr id="0" name="Chart 1"/>
        <xdr:cNvGraphicFramePr/>
      </xdr:nvGraphicFramePr>
      <xdr:xfrm>
        <a:off x="4135680" y="1518840"/>
        <a:ext cx="5039280" cy="359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6</xdr:row>
      <xdr:rowOff>70920</xdr:rowOff>
    </xdr:from>
    <xdr:to>
      <xdr:col>13</xdr:col>
      <xdr:colOff>446400</xdr:colOff>
      <xdr:row>24</xdr:row>
      <xdr:rowOff>151920</xdr:rowOff>
    </xdr:to>
    <xdr:graphicFrame>
      <xdr:nvGraphicFramePr>
        <xdr:cNvPr id="1" name="Chart 2"/>
        <xdr:cNvGraphicFramePr/>
      </xdr:nvGraphicFramePr>
      <xdr:xfrm>
        <a:off x="6720840" y="1518840"/>
        <a:ext cx="5759280" cy="359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G3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6" min="5" style="1" width="14"/>
    <col collapsed="false" customWidth="true" hidden="false" outlineLevel="0" max="7" min="7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6" t="n">
        <v>1</v>
      </c>
      <c r="C5" s="7" t="n">
        <v>1</v>
      </c>
      <c r="D5" s="8" t="n">
        <f aca="false">C5-B5</f>
        <v>0</v>
      </c>
      <c r="E5" s="9" t="n">
        <f aca="false">IF(B5=0,0,(C5-B5)/B5)</f>
        <v>0</v>
      </c>
      <c r="F5" s="10" t="str">
        <f aca="false">IF(ABS(D5)&lt;0.0001,"OK",IF(ABS(E5)&lt;=0.02,"Mineur","Critique"))</f>
        <v>OK</v>
      </c>
      <c r="G5" s="5" t="str">
        <f aca="false">IF(F5="OK","Aucune",IF(F5="Mineur","Ajustement mineur","Correction urgente"))</f>
        <v>Aucune</v>
      </c>
    </row>
    <row r="6" customFormat="false" ht="15" hidden="false" customHeight="true" outlineLevel="0" collapsed="false">
      <c r="A6" s="5" t="s">
        <v>10</v>
      </c>
      <c r="B6" s="6" t="n">
        <v>1.0333</v>
      </c>
      <c r="C6" s="7" t="n">
        <v>1.0602</v>
      </c>
      <c r="D6" s="8" t="n">
        <f aca="false">C6-B6</f>
        <v>0.0268999999999999</v>
      </c>
      <c r="E6" s="9" t="n">
        <f aca="false">IF(B6=0,0,(C6-B6)/B6)</f>
        <v>0.0260330978418658</v>
      </c>
      <c r="F6" s="10" t="str">
        <f aca="false">IF(ABS(D6)&lt;0.0001,"OK",IF(ABS(E6)&lt;=0.02,"Mineur","Critique"))</f>
        <v>Critique</v>
      </c>
      <c r="G6" s="5" t="str">
        <f aca="false">IF(F6="OK","Aucune",IF(F6="Mineur","Ajustement mineur","Correction urgente"))</f>
        <v>Correction urgente</v>
      </c>
    </row>
    <row r="7" customFormat="false" ht="15" hidden="false" customHeight="true" outlineLevel="0" collapsed="false">
      <c r="A7" s="5" t="s">
        <v>11</v>
      </c>
      <c r="B7" s="6" t="n">
        <v>1.0983</v>
      </c>
      <c r="C7" s="7" t="n">
        <v>1.0983</v>
      </c>
      <c r="D7" s="8" t="n">
        <f aca="false">C7-B7</f>
        <v>0</v>
      </c>
      <c r="E7" s="9" t="n">
        <f aca="false">IF(B7=0,0,(C7-B7)/B7)</f>
        <v>0</v>
      </c>
      <c r="F7" s="10" t="str">
        <f aca="false">IF(ABS(D7)&lt;0.0001,"OK",IF(ABS(E7)&lt;=0.02,"Mineur","Critique"))</f>
        <v>OK</v>
      </c>
      <c r="G7" s="5" t="str">
        <f aca="false">IF(F7="OK","Aucune",IF(F7="Mineur","Ajustement mineur","Correction urgente"))</f>
        <v>Aucune</v>
      </c>
    </row>
    <row r="8" customFormat="false" ht="15" hidden="false" customHeight="true" outlineLevel="0" collapsed="false">
      <c r="A8" s="5" t="s">
        <v>12</v>
      </c>
      <c r="B8" s="6" t="n">
        <v>0.952</v>
      </c>
      <c r="C8" s="7" t="n">
        <v>0.952</v>
      </c>
      <c r="D8" s="8" t="n">
        <f aca="false">C8-B8</f>
        <v>0</v>
      </c>
      <c r="E8" s="9" t="n">
        <f aca="false">IF(B8=0,0,(C8-B8)/B8)</f>
        <v>0</v>
      </c>
      <c r="F8" s="10" t="str">
        <f aca="false">IF(ABS(D8)&lt;0.0001,"OK",IF(ABS(E8)&lt;=0.02,"Mineur","Critique"))</f>
        <v>OK</v>
      </c>
      <c r="G8" s="5" t="str">
        <f aca="false">IF(F8="OK","Aucune",IF(F8="Mineur","Ajustement mineur","Correction urgente"))</f>
        <v>Aucune</v>
      </c>
    </row>
    <row r="9" customFormat="false" ht="15" hidden="false" customHeight="true" outlineLevel="0" collapsed="false">
      <c r="A9" s="5" t="s">
        <v>13</v>
      </c>
      <c r="B9" s="6" t="n">
        <v>0.9223</v>
      </c>
      <c r="C9" s="7" t="n">
        <v>0.9223</v>
      </c>
      <c r="D9" s="8" t="n">
        <f aca="false">C9-B9</f>
        <v>0</v>
      </c>
      <c r="E9" s="9" t="n">
        <f aca="false">IF(B9=0,0,(C9-B9)/B9)</f>
        <v>0</v>
      </c>
      <c r="F9" s="10" t="str">
        <f aca="false">IF(ABS(D9)&lt;0.0001,"OK",IF(ABS(E9)&lt;=0.02,"Mineur","Critique"))</f>
        <v>OK</v>
      </c>
      <c r="G9" s="5" t="str">
        <f aca="false">IF(F9="OK","Aucune",IF(F9="Mineur","Ajustement mineur","Correction urgente"))</f>
        <v>Aucune</v>
      </c>
    </row>
    <row r="10" customFormat="false" ht="15" hidden="false" customHeight="true" outlineLevel="0" collapsed="false">
      <c r="A10" s="5" t="s">
        <v>14</v>
      </c>
      <c r="B10" s="6" t="n">
        <v>1</v>
      </c>
      <c r="C10" s="7" t="n">
        <v>1</v>
      </c>
      <c r="D10" s="8" t="n">
        <f aca="false">C10-B10</f>
        <v>0</v>
      </c>
      <c r="E10" s="9" t="n">
        <f aca="false">IF(B10=0,0,(C10-B10)/B10)</f>
        <v>0</v>
      </c>
      <c r="F10" s="10" t="str">
        <f aca="false">IF(ABS(D10)&lt;0.0001,"OK",IF(ABS(E10)&lt;=0.02,"Mineur","Critique"))</f>
        <v>OK</v>
      </c>
      <c r="G10" s="5" t="str">
        <f aca="false">IF(F10="OK","Aucune",IF(F10="Mineur","Ajustement mineur","Correction urgente"))</f>
        <v>Aucune</v>
      </c>
    </row>
    <row r="11" customFormat="false" ht="15" hidden="false" customHeight="true" outlineLevel="0" collapsed="false">
      <c r="A11" s="5" t="s">
        <v>15</v>
      </c>
      <c r="B11" s="6" t="n">
        <v>1</v>
      </c>
      <c r="C11" s="7" t="n">
        <v>1</v>
      </c>
      <c r="D11" s="8" t="n">
        <f aca="false">C11-B11</f>
        <v>0</v>
      </c>
      <c r="E11" s="9" t="n">
        <f aca="false">IF(B11=0,0,(C11-B11)/B11)</f>
        <v>0</v>
      </c>
      <c r="F11" s="10" t="str">
        <f aca="false">IF(ABS(D11)&lt;0.0001,"OK",IF(ABS(E11)&lt;=0.02,"Mineur","Critique"))</f>
        <v>OK</v>
      </c>
      <c r="G11" s="5" t="str">
        <f aca="false">IF(F11="OK","Aucune",IF(F11="Mineur","Ajustement mineur","Correction urgente"))</f>
        <v>Aucune</v>
      </c>
    </row>
    <row r="12" customFormat="false" ht="15" hidden="false" customHeight="true" outlineLevel="0" collapsed="false">
      <c r="A12" s="5" t="s">
        <v>16</v>
      </c>
      <c r="B12" s="6" t="n">
        <v>1.1149</v>
      </c>
      <c r="C12" s="7" t="n">
        <v>1.1149</v>
      </c>
      <c r="D12" s="8" t="n">
        <f aca="false">C12-B12</f>
        <v>0</v>
      </c>
      <c r="E12" s="9" t="n">
        <f aca="false">IF(B12=0,0,(C12-B12)/B12)</f>
        <v>0</v>
      </c>
      <c r="F12" s="10" t="str">
        <f aca="false">IF(ABS(D12)&lt;0.0001,"OK",IF(ABS(E12)&lt;=0.02,"Mineur","Critique"))</f>
        <v>OK</v>
      </c>
      <c r="G12" s="5" t="str">
        <f aca="false">IF(F12="OK","Aucune",IF(F12="Mineur","Ajustement mineur","Correction urgente"))</f>
        <v>Aucune</v>
      </c>
    </row>
    <row r="13" customFormat="false" ht="15" hidden="false" customHeight="true" outlineLevel="0" collapsed="false">
      <c r="A13" s="5" t="s">
        <v>17</v>
      </c>
      <c r="B13" s="6" t="n">
        <v>1</v>
      </c>
      <c r="C13" s="7" t="n">
        <v>0.9747</v>
      </c>
      <c r="D13" s="8" t="n">
        <f aca="false">C13-B13</f>
        <v>-0.0253</v>
      </c>
      <c r="E13" s="9" t="n">
        <f aca="false">IF(B13=0,0,(C13-B13)/B13)</f>
        <v>-0.0253</v>
      </c>
      <c r="F13" s="10" t="str">
        <f aca="false">IF(ABS(D13)&lt;0.0001,"OK",IF(ABS(E13)&lt;=0.02,"Mineur","Critique"))</f>
        <v>Critique</v>
      </c>
      <c r="G13" s="5" t="str">
        <f aca="false">IF(F13="OK","Aucune",IF(F13="Mineur","Ajustement mineur","Correction urgente"))</f>
        <v>Correction urgente</v>
      </c>
    </row>
    <row r="14" customFormat="false" ht="15" hidden="false" customHeight="true" outlineLevel="0" collapsed="false">
      <c r="A14" s="5" t="s">
        <v>18</v>
      </c>
      <c r="B14" s="6" t="n">
        <v>1</v>
      </c>
      <c r="C14" s="7" t="n">
        <v>0.976</v>
      </c>
      <c r="D14" s="8" t="n">
        <f aca="false">C14-B14</f>
        <v>-0.024</v>
      </c>
      <c r="E14" s="9" t="n">
        <f aca="false">IF(B14=0,0,(C14-B14)/B14)</f>
        <v>-0.024</v>
      </c>
      <c r="F14" s="10" t="str">
        <f aca="false">IF(ABS(D14)&lt;0.0001,"OK",IF(ABS(E14)&lt;=0.02,"Mineur","Critique"))</f>
        <v>Critique</v>
      </c>
      <c r="G14" s="5" t="str">
        <f aca="false">IF(F14="OK","Aucune",IF(F14="Mineur","Ajustement mineur","Correction urgente"))</f>
        <v>Correction urgente</v>
      </c>
    </row>
    <row r="15" customFormat="false" ht="15" hidden="false" customHeight="true" outlineLevel="0" collapsed="false">
      <c r="A15" s="5" t="s">
        <v>19</v>
      </c>
      <c r="B15" s="6" t="n">
        <v>1</v>
      </c>
      <c r="C15" s="7" t="n">
        <v>1</v>
      </c>
      <c r="D15" s="8" t="n">
        <f aca="false">C15-B15</f>
        <v>0</v>
      </c>
      <c r="E15" s="9" t="n">
        <f aca="false">IF(B15=0,0,(C15-B15)/B15)</f>
        <v>0</v>
      </c>
      <c r="F15" s="10" t="str">
        <f aca="false">IF(ABS(D15)&lt;0.0001,"OK",IF(ABS(E15)&lt;=0.02,"Mineur","Critique"))</f>
        <v>OK</v>
      </c>
      <c r="G15" s="5" t="str">
        <f aca="false">IF(F15="OK","Aucune",IF(F15="Mineur","Ajustement mineur","Correction urgente"))</f>
        <v>Aucune</v>
      </c>
    </row>
    <row r="16" customFormat="false" ht="15" hidden="false" customHeight="true" outlineLevel="0" collapsed="false">
      <c r="A16" s="5" t="s">
        <v>20</v>
      </c>
      <c r="B16" s="6" t="n">
        <v>1.1112</v>
      </c>
      <c r="C16" s="7" t="n">
        <v>1.1112</v>
      </c>
      <c r="D16" s="8" t="n">
        <f aca="false">C16-B16</f>
        <v>0</v>
      </c>
      <c r="E16" s="9" t="n">
        <f aca="false">IF(B16=0,0,(C16-B16)/B16)</f>
        <v>0</v>
      </c>
      <c r="F16" s="10" t="str">
        <f aca="false">IF(ABS(D16)&lt;0.0001,"OK",IF(ABS(E16)&lt;=0.02,"Mineur","Critique"))</f>
        <v>OK</v>
      </c>
      <c r="G16" s="5" t="str">
        <f aca="false">IF(F16="OK","Aucune",IF(F16="Mineur","Ajustement mineur","Correction urgente"))</f>
        <v>Aucune</v>
      </c>
    </row>
    <row r="17" customFormat="false" ht="15" hidden="false" customHeight="true" outlineLevel="0" collapsed="false">
      <c r="A17" s="5" t="s">
        <v>21</v>
      </c>
      <c r="B17" s="6" t="n">
        <v>1.0422</v>
      </c>
      <c r="C17" s="7" t="n">
        <v>1.0422</v>
      </c>
      <c r="D17" s="8" t="n">
        <f aca="false">C17-B17</f>
        <v>0</v>
      </c>
      <c r="E17" s="9" t="n">
        <f aca="false">IF(B17=0,0,(C17-B17)/B17)</f>
        <v>0</v>
      </c>
      <c r="F17" s="10" t="str">
        <f aca="false">IF(ABS(D17)&lt;0.0001,"OK",IF(ABS(E17)&lt;=0.02,"Mineur","Critique"))</f>
        <v>OK</v>
      </c>
      <c r="G17" s="5" t="str">
        <f aca="false">IF(F17="OK","Aucune",IF(F17="Mineur","Ajustement mineur","Correction urgente"))</f>
        <v>Aucune</v>
      </c>
    </row>
    <row r="18" customFormat="false" ht="15" hidden="false" customHeight="true" outlineLevel="0" collapsed="false">
      <c r="A18" s="5" t="s">
        <v>22</v>
      </c>
      <c r="B18" s="6" t="n">
        <v>1.0551</v>
      </c>
      <c r="C18" s="7" t="n">
        <v>1.0551</v>
      </c>
      <c r="D18" s="8" t="n">
        <f aca="false">C18-B18</f>
        <v>0</v>
      </c>
      <c r="E18" s="9" t="n">
        <f aca="false">IF(B18=0,0,(C18-B18)/B18)</f>
        <v>0</v>
      </c>
      <c r="F18" s="10" t="str">
        <f aca="false">IF(ABS(D18)&lt;0.0001,"OK",IF(ABS(E18)&lt;=0.02,"Mineur","Critique"))</f>
        <v>OK</v>
      </c>
      <c r="G18" s="5" t="str">
        <f aca="false">IF(F18="OK","Aucune",IF(F18="Mineur","Ajustement mineur","Correction urgente"))</f>
        <v>Aucune</v>
      </c>
    </row>
    <row r="19" customFormat="false" ht="15" hidden="false" customHeight="true" outlineLevel="0" collapsed="false">
      <c r="A19" s="5" t="s">
        <v>23</v>
      </c>
      <c r="B19" s="6" t="n">
        <v>0.9176</v>
      </c>
      <c r="C19" s="7" t="n">
        <v>0.9176</v>
      </c>
      <c r="D19" s="8" t="n">
        <f aca="false">C19-B19</f>
        <v>0</v>
      </c>
      <c r="E19" s="9" t="n">
        <f aca="false">IF(B19=0,0,(C19-B19)/B19)</f>
        <v>0</v>
      </c>
      <c r="F19" s="10" t="str">
        <f aca="false">IF(ABS(D19)&lt;0.0001,"OK",IF(ABS(E19)&lt;=0.02,"Mineur","Critique"))</f>
        <v>OK</v>
      </c>
      <c r="G19" s="5" t="str">
        <f aca="false">IF(F19="OK","Aucune",IF(F19="Mineur","Ajustement mineur","Correction urgente"))</f>
        <v>Aucune</v>
      </c>
    </row>
    <row r="20" customFormat="false" ht="15" hidden="false" customHeight="true" outlineLevel="0" collapsed="false">
      <c r="A20" s="5" t="s">
        <v>24</v>
      </c>
      <c r="B20" s="6" t="n">
        <v>1</v>
      </c>
      <c r="C20" s="7" t="n">
        <v>1</v>
      </c>
      <c r="D20" s="8" t="n">
        <f aca="false">C20-B20</f>
        <v>0</v>
      </c>
      <c r="E20" s="9" t="n">
        <f aca="false">IF(B20=0,0,(C20-B20)/B20)</f>
        <v>0</v>
      </c>
      <c r="F20" s="10" t="str">
        <f aca="false">IF(ABS(D20)&lt;0.0001,"OK",IF(ABS(E20)&lt;=0.02,"Mineur","Critique"))</f>
        <v>OK</v>
      </c>
      <c r="G20" s="5" t="str">
        <f aca="false">IF(F20="OK","Aucune",IF(F20="Mineur","Ajustement mineur","Correction urgente"))</f>
        <v>Aucune</v>
      </c>
    </row>
    <row r="21" customFormat="false" ht="15" hidden="false" customHeight="true" outlineLevel="0" collapsed="false">
      <c r="A21" s="5" t="s">
        <v>25</v>
      </c>
      <c r="B21" s="6" t="n">
        <v>1.0937</v>
      </c>
      <c r="C21" s="7" t="n">
        <v>1.0937</v>
      </c>
      <c r="D21" s="8" t="n">
        <f aca="false">C21-B21</f>
        <v>0</v>
      </c>
      <c r="E21" s="9" t="n">
        <f aca="false">IF(B21=0,0,(C21-B21)/B21)</f>
        <v>0</v>
      </c>
      <c r="F21" s="10" t="str">
        <f aca="false">IF(ABS(D21)&lt;0.0001,"OK",IF(ABS(E21)&lt;=0.02,"Mineur","Critique"))</f>
        <v>OK</v>
      </c>
      <c r="G21" s="5" t="str">
        <f aca="false">IF(F21="OK","Aucune",IF(F21="Mineur","Ajustement mineur","Correction urgente"))</f>
        <v>Aucune</v>
      </c>
    </row>
    <row r="22" customFormat="false" ht="15" hidden="false" customHeight="true" outlineLevel="0" collapsed="false">
      <c r="A22" s="5" t="s">
        <v>26</v>
      </c>
      <c r="B22" s="6" t="n">
        <v>1.0714</v>
      </c>
      <c r="C22" s="7" t="n">
        <v>1.0714</v>
      </c>
      <c r="D22" s="8" t="n">
        <f aca="false">C22-B22</f>
        <v>0</v>
      </c>
      <c r="E22" s="9" t="n">
        <f aca="false">IF(B22=0,0,(C22-B22)/B22)</f>
        <v>0</v>
      </c>
      <c r="F22" s="10" t="str">
        <f aca="false">IF(ABS(D22)&lt;0.0001,"OK",IF(ABS(E22)&lt;=0.02,"Mineur","Critique"))</f>
        <v>OK</v>
      </c>
      <c r="G22" s="5" t="str">
        <f aca="false">IF(F22="OK","Aucune",IF(F22="Mineur","Ajustement mineur","Correction urgente"))</f>
        <v>Aucune</v>
      </c>
    </row>
    <row r="23" customFormat="false" ht="15" hidden="false" customHeight="true" outlineLevel="0" collapsed="false">
      <c r="A23" s="5" t="s">
        <v>27</v>
      </c>
      <c r="B23" s="6" t="n">
        <v>1.0521</v>
      </c>
      <c r="C23" s="7" t="n">
        <v>1.0521</v>
      </c>
      <c r="D23" s="8" t="n">
        <f aca="false">C23-B23</f>
        <v>0</v>
      </c>
      <c r="E23" s="9" t="n">
        <f aca="false">IF(B23=0,0,(C23-B23)/B23)</f>
        <v>0</v>
      </c>
      <c r="F23" s="10" t="str">
        <f aca="false">IF(ABS(D23)&lt;0.0001,"OK",IF(ABS(E23)&lt;=0.02,"Mineur","Critique"))</f>
        <v>OK</v>
      </c>
      <c r="G23" s="5" t="str">
        <f aca="false">IF(F23="OK","Aucune",IF(F23="Mineur","Ajustement mineur","Correction urgente"))</f>
        <v>Aucune</v>
      </c>
    </row>
    <row r="24" customFormat="false" ht="15" hidden="false" customHeight="true" outlineLevel="0" collapsed="false">
      <c r="A24" s="5" t="s">
        <v>28</v>
      </c>
      <c r="B24" s="6" t="n">
        <v>1.0757</v>
      </c>
      <c r="C24" s="7" t="n">
        <v>1.0757</v>
      </c>
      <c r="D24" s="8" t="n">
        <f aca="false">C24-B24</f>
        <v>0</v>
      </c>
      <c r="E24" s="9" t="n">
        <f aca="false">IF(B24=0,0,(C24-B24)/B24)</f>
        <v>0</v>
      </c>
      <c r="F24" s="10" t="str">
        <f aca="false">IF(ABS(D24)&lt;0.0001,"OK",IF(ABS(E24)&lt;=0.02,"Mineur","Critique"))</f>
        <v>OK</v>
      </c>
      <c r="G24" s="5" t="str">
        <f aca="false">IF(F24="OK","Aucune",IF(F24="Mineur","Ajustement mineur","Correction urgente"))</f>
        <v>Aucune</v>
      </c>
    </row>
    <row r="25" customFormat="false" ht="15" hidden="false" customHeight="true" outlineLevel="0" collapsed="false">
      <c r="A25" s="5" t="s">
        <v>29</v>
      </c>
      <c r="B25" s="6" t="n">
        <v>1.1497</v>
      </c>
      <c r="C25" s="7" t="n">
        <v>1.1497</v>
      </c>
      <c r="D25" s="8" t="n">
        <f aca="false">C25-B25</f>
        <v>0</v>
      </c>
      <c r="E25" s="9" t="n">
        <f aca="false">IF(B25=0,0,(C25-B25)/B25)</f>
        <v>0</v>
      </c>
      <c r="F25" s="10" t="str">
        <f aca="false">IF(ABS(D25)&lt;0.0001,"OK",IF(ABS(E25)&lt;=0.02,"Mineur","Critique"))</f>
        <v>OK</v>
      </c>
      <c r="G25" s="5" t="str">
        <f aca="false">IF(F25="OK","Aucune",IF(F25="Mineur","Ajustement mineur","Correction urgente"))</f>
        <v>Aucune</v>
      </c>
    </row>
    <row r="26" customFormat="false" ht="15" hidden="false" customHeight="true" outlineLevel="0" collapsed="false">
      <c r="A26" s="5" t="s">
        <v>30</v>
      </c>
      <c r="B26" s="6" t="n">
        <v>0.9605</v>
      </c>
      <c r="C26" s="7" t="n">
        <v>0.9605</v>
      </c>
      <c r="D26" s="8" t="n">
        <f aca="false">C26-B26</f>
        <v>0</v>
      </c>
      <c r="E26" s="9" t="n">
        <f aca="false">IF(B26=0,0,(C26-B26)/B26)</f>
        <v>0</v>
      </c>
      <c r="F26" s="10" t="str">
        <f aca="false">IF(ABS(D26)&lt;0.0001,"OK",IF(ABS(E26)&lt;=0.02,"Mineur","Critique"))</f>
        <v>OK</v>
      </c>
      <c r="G26" s="5" t="str">
        <f aca="false">IF(F26="OK","Aucune",IF(F26="Mineur","Ajustement mineur","Correction urgente"))</f>
        <v>Aucune</v>
      </c>
    </row>
    <row r="27" customFormat="false" ht="15" hidden="false" customHeight="true" outlineLevel="0" collapsed="false">
      <c r="A27" s="5" t="s">
        <v>31</v>
      </c>
      <c r="B27" s="6" t="n">
        <v>0.9634</v>
      </c>
      <c r="C27" s="7" t="n">
        <v>0.9634</v>
      </c>
      <c r="D27" s="8" t="n">
        <f aca="false">C27-B27</f>
        <v>0</v>
      </c>
      <c r="E27" s="9" t="n">
        <f aca="false">IF(B27=0,0,(C27-B27)/B27)</f>
        <v>0</v>
      </c>
      <c r="F27" s="10" t="str">
        <f aca="false">IF(ABS(D27)&lt;0.0001,"OK",IF(ABS(E27)&lt;=0.02,"Mineur","Critique"))</f>
        <v>OK</v>
      </c>
      <c r="G27" s="5" t="str">
        <f aca="false">IF(F27="OK","Aucune",IF(F27="Mineur","Ajustement mineur","Correction urgente"))</f>
        <v>Aucune</v>
      </c>
    </row>
    <row r="28" customFormat="false" ht="15" hidden="false" customHeight="true" outlineLevel="0" collapsed="false">
      <c r="A28" s="5" t="s">
        <v>32</v>
      </c>
      <c r="B28" s="6" t="n">
        <v>1</v>
      </c>
      <c r="C28" s="7" t="n">
        <v>1</v>
      </c>
      <c r="D28" s="8" t="n">
        <f aca="false">C28-B28</f>
        <v>0</v>
      </c>
      <c r="E28" s="9" t="n">
        <f aca="false">IF(B28=0,0,(C28-B28)/B28)</f>
        <v>0</v>
      </c>
      <c r="F28" s="10" t="str">
        <f aca="false">IF(ABS(D28)&lt;0.0001,"OK",IF(ABS(E28)&lt;=0.02,"Mineur","Critique"))</f>
        <v>OK</v>
      </c>
      <c r="G28" s="5" t="str">
        <f aca="false">IF(F28="OK","Aucune",IF(F28="Mineur","Ajustement mineur","Correction urgente"))</f>
        <v>Aucune</v>
      </c>
    </row>
    <row r="29" customFormat="false" ht="15" hidden="false" customHeight="true" outlineLevel="0" collapsed="false">
      <c r="A29" s="5" t="s">
        <v>33</v>
      </c>
      <c r="B29" s="6" t="n">
        <v>1</v>
      </c>
      <c r="C29" s="7" t="n">
        <v>1</v>
      </c>
      <c r="D29" s="8" t="n">
        <f aca="false">C29-B29</f>
        <v>0</v>
      </c>
      <c r="E29" s="9" t="n">
        <f aca="false">IF(B29=0,0,(C29-B29)/B29)</f>
        <v>0</v>
      </c>
      <c r="F29" s="10" t="str">
        <f aca="false">IF(ABS(D29)&lt;0.0001,"OK",IF(ABS(E29)&lt;=0.02,"Mineur","Critique"))</f>
        <v>OK</v>
      </c>
      <c r="G29" s="5" t="str">
        <f aca="false">IF(F29="OK","Aucune",IF(F29="Mineur","Ajustement mineur","Correction urgente"))</f>
        <v>Aucune</v>
      </c>
    </row>
    <row r="30" customFormat="false" ht="15" hidden="false" customHeight="true" outlineLevel="0" collapsed="false">
      <c r="A30" s="5" t="s">
        <v>34</v>
      </c>
      <c r="B30" s="6" t="n">
        <v>1.144</v>
      </c>
      <c r="C30" s="7" t="n">
        <v>1.144</v>
      </c>
      <c r="D30" s="8" t="n">
        <f aca="false">C30-B30</f>
        <v>0</v>
      </c>
      <c r="E30" s="9" t="n">
        <f aca="false">IF(B30=0,0,(C30-B30)/B30)</f>
        <v>0</v>
      </c>
      <c r="F30" s="10" t="str">
        <f aca="false">IF(ABS(D30)&lt;0.0001,"OK",IF(ABS(E30)&lt;=0.02,"Mineur","Critique"))</f>
        <v>OK</v>
      </c>
      <c r="G30" s="5" t="str">
        <f aca="false">IF(F30="OK","Aucune",IF(F30="Mineur","Ajustement mineur","Correction urgente"))</f>
        <v>Aucune</v>
      </c>
    </row>
    <row r="31" customFormat="false" ht="15" hidden="false" customHeight="true" outlineLevel="0" collapsed="false">
      <c r="A31" s="5" t="s">
        <v>35</v>
      </c>
      <c r="B31" s="6" t="n">
        <v>0.94</v>
      </c>
      <c r="C31" s="7" t="n">
        <v>0.9756</v>
      </c>
      <c r="D31" s="8" t="n">
        <f aca="false">C31-B31</f>
        <v>0.0356000000000001</v>
      </c>
      <c r="E31" s="9" t="n">
        <f aca="false">IF(B31=0,0,(C31-B31)/B31)</f>
        <v>0.037872340425532</v>
      </c>
      <c r="F31" s="10" t="str">
        <f aca="false">IF(ABS(D31)&lt;0.0001,"OK",IF(ABS(E31)&lt;=0.02,"Mineur","Critique"))</f>
        <v>Critique</v>
      </c>
      <c r="G31" s="5" t="str">
        <f aca="false">IF(F31="OK","Aucune",IF(F31="Mineur","Ajustement mineur","Correction urgente"))</f>
        <v>Correction urgente</v>
      </c>
    </row>
    <row r="32" customFormat="false" ht="15" hidden="false" customHeight="true" outlineLevel="0" collapsed="false">
      <c r="A32" s="5" t="s">
        <v>36</v>
      </c>
      <c r="B32" s="6" t="n">
        <v>1.041</v>
      </c>
      <c r="C32" s="7" t="n">
        <v>1.041</v>
      </c>
      <c r="D32" s="8" t="n">
        <f aca="false">C32-B32</f>
        <v>0</v>
      </c>
      <c r="E32" s="9" t="n">
        <f aca="false">IF(B32=0,0,(C32-B32)/B32)</f>
        <v>0</v>
      </c>
      <c r="F32" s="10" t="str">
        <f aca="false">IF(ABS(D32)&lt;0.0001,"OK",IF(ABS(E32)&lt;=0.02,"Mineur","Critique"))</f>
        <v>OK</v>
      </c>
      <c r="G32" s="5" t="str">
        <f aca="false">IF(F32="OK","Aucune",IF(F32="Mineur","Ajustement mineur","Correction urgente"))</f>
        <v>Aucune</v>
      </c>
    </row>
    <row r="33" customFormat="false" ht="15" hidden="false" customHeight="true" outlineLevel="0" collapsed="false">
      <c r="A33" s="5" t="s">
        <v>37</v>
      </c>
      <c r="B33" s="6" t="n">
        <v>1</v>
      </c>
      <c r="C33" s="7" t="n">
        <v>1</v>
      </c>
      <c r="D33" s="8" t="n">
        <f aca="false">C33-B33</f>
        <v>0</v>
      </c>
      <c r="E33" s="9" t="n">
        <f aca="false">IF(B33=0,0,(C33-B33)/B33)</f>
        <v>0</v>
      </c>
      <c r="F33" s="10" t="str">
        <f aca="false">IF(ABS(D33)&lt;0.0001,"OK",IF(ABS(E33)&lt;=0.02,"Mineur","Critique"))</f>
        <v>OK</v>
      </c>
      <c r="G33" s="5" t="str">
        <f aca="false">IF(F33="OK","Aucune",IF(F33="Mineur","Ajustement mineur","Correction urgente"))</f>
        <v>Aucune</v>
      </c>
    </row>
    <row r="34" customFormat="false" ht="15" hidden="false" customHeight="true" outlineLevel="0" collapsed="false">
      <c r="A34" s="5" t="s">
        <v>38</v>
      </c>
      <c r="B34" s="6" t="n">
        <v>0.9193</v>
      </c>
      <c r="C34" s="7" t="n">
        <v>0.9193</v>
      </c>
      <c r="D34" s="8" t="n">
        <f aca="false">C34-B34</f>
        <v>0</v>
      </c>
      <c r="E34" s="9" t="n">
        <f aca="false">IF(B34=0,0,(C34-B34)/B34)</f>
        <v>0</v>
      </c>
      <c r="F34" s="10" t="str">
        <f aca="false">IF(ABS(D34)&lt;0.0001,"OK",IF(ABS(E34)&lt;=0.02,"Mineur","Critique"))</f>
        <v>OK</v>
      </c>
      <c r="G34" s="5" t="str">
        <f aca="false">IF(F34="OK","Aucune",IF(F34="Mineur","Ajustement mineur","Correction urgente"))</f>
        <v>Aucune</v>
      </c>
    </row>
    <row r="35" customFormat="false" ht="15" hidden="false" customHeight="true" outlineLevel="0" collapsed="false">
      <c r="A35" s="5" t="s">
        <v>39</v>
      </c>
      <c r="B35" s="6" t="n">
        <v>1.029</v>
      </c>
      <c r="C35" s="7" t="n">
        <v>1.029</v>
      </c>
      <c r="D35" s="8" t="n">
        <f aca="false">C35-B35</f>
        <v>0</v>
      </c>
      <c r="E35" s="9" t="n">
        <f aca="false">IF(B35=0,0,(C35-B35)/B35)</f>
        <v>0</v>
      </c>
      <c r="F35" s="10" t="str">
        <f aca="false">IF(ABS(D35)&lt;0.0001,"OK",IF(ABS(E35)&lt;=0.02,"Mineur","Critique"))</f>
        <v>OK</v>
      </c>
      <c r="G35" s="5" t="str">
        <f aca="false">IF(F35="OK","Aucune",IF(F35="Mineur","Ajustement mineur","Correction urgente"))</f>
        <v>Aucune</v>
      </c>
    </row>
    <row r="36" customFormat="false" ht="15" hidden="false" customHeight="true" outlineLevel="0" collapsed="false">
      <c r="A36" s="5" t="s">
        <v>40</v>
      </c>
      <c r="B36" s="6" t="n">
        <v>0.9422</v>
      </c>
      <c r="C36" s="7" t="n">
        <v>0.9848</v>
      </c>
      <c r="D36" s="8" t="n">
        <f aca="false">C36-B36</f>
        <v>0.0426</v>
      </c>
      <c r="E36" s="9" t="n">
        <f aca="false">IF(B36=0,0,(C36-B36)/B36)</f>
        <v>0.0452133305030779</v>
      </c>
      <c r="F36" s="10" t="str">
        <f aca="false">IF(ABS(D36)&lt;0.0001,"OK",IF(ABS(E36)&lt;=0.02,"Mineur","Critique"))</f>
        <v>Critique</v>
      </c>
      <c r="G36" s="5" t="str">
        <f aca="false">IF(F36="OK","Aucune",IF(F36="Mineur","Ajustement mineur","Correction urgente"))</f>
        <v>Correction urgente</v>
      </c>
    </row>
    <row r="37" customFormat="false" ht="15" hidden="false" customHeight="true" outlineLevel="0" collapsed="false">
      <c r="A37" s="5" t="s">
        <v>41</v>
      </c>
      <c r="B37" s="6" t="n">
        <v>1</v>
      </c>
      <c r="C37" s="7" t="n">
        <v>0.9681</v>
      </c>
      <c r="D37" s="8" t="n">
        <f aca="false">C37-B37</f>
        <v>-0.0319</v>
      </c>
      <c r="E37" s="9" t="n">
        <f aca="false">IF(B37=0,0,(C37-B37)/B37)</f>
        <v>-0.0319</v>
      </c>
      <c r="F37" s="10" t="str">
        <f aca="false">IF(ABS(D37)&lt;0.0001,"OK",IF(ABS(E37)&lt;=0.02,"Mineur","Critique"))</f>
        <v>Critique</v>
      </c>
      <c r="G37" s="5" t="str">
        <f aca="false">IF(F37="OK","Aucune",IF(F37="Mineur","Ajustement mineur","Correction urgente"))</f>
        <v>Correction urgente</v>
      </c>
    </row>
    <row r="38" customFormat="false" ht="15" hidden="false" customHeight="true" outlineLevel="0" collapsed="false">
      <c r="A38" s="5" t="s">
        <v>42</v>
      </c>
      <c r="B38" s="6" t="n">
        <v>0.9471</v>
      </c>
      <c r="C38" s="7" t="n">
        <v>0.9471</v>
      </c>
      <c r="D38" s="8" t="n">
        <f aca="false">C38-B38</f>
        <v>0</v>
      </c>
      <c r="E38" s="9" t="n">
        <f aca="false">IF(B38=0,0,(C38-B38)/B38)</f>
        <v>0</v>
      </c>
      <c r="F38" s="10" t="str">
        <f aca="false">IF(ABS(D38)&lt;0.0001,"OK",IF(ABS(E38)&lt;=0.02,"Mineur","Critique"))</f>
        <v>OK</v>
      </c>
      <c r="G38" s="5" t="str">
        <f aca="false">IF(F38="OK","Aucune",IF(F38="Mineur","Ajustement mineur","Correction urgente"))</f>
        <v>Aucune</v>
      </c>
    </row>
    <row r="39" customFormat="false" ht="15" hidden="false" customHeight="true" outlineLevel="0" collapsed="false">
      <c r="A39" s="5" t="s">
        <v>43</v>
      </c>
      <c r="B39" s="6" t="n">
        <v>0.9566</v>
      </c>
      <c r="C39" s="7" t="n">
        <v>0.9042</v>
      </c>
      <c r="D39" s="8" t="n">
        <f aca="false">C39-B39</f>
        <v>-0.0524</v>
      </c>
      <c r="E39" s="9" t="n">
        <f aca="false">IF(B39=0,0,(C39-B39)/B39)</f>
        <v>-0.0547773363997491</v>
      </c>
      <c r="F39" s="10" t="str">
        <f aca="false">IF(ABS(D39)&lt;0.0001,"OK",IF(ABS(E39)&lt;=0.02,"Mineur","Critique"))</f>
        <v>Critique</v>
      </c>
      <c r="G39" s="5" t="str">
        <f aca="false">IF(F39="OK","Aucune",IF(F39="Mineur","Ajustement mineur","Correction urgente"))</f>
        <v>Correction urgente</v>
      </c>
    </row>
    <row r="40" customFormat="false" ht="15" hidden="false" customHeight="true" outlineLevel="0" collapsed="false">
      <c r="A40" s="5" t="s">
        <v>44</v>
      </c>
      <c r="B40" s="6" t="n">
        <v>1.0372</v>
      </c>
      <c r="C40" s="7" t="n">
        <v>1.0372</v>
      </c>
      <c r="D40" s="8" t="n">
        <f aca="false">C40-B40</f>
        <v>0</v>
      </c>
      <c r="E40" s="9" t="n">
        <f aca="false">IF(B40=0,0,(C40-B40)/B40)</f>
        <v>0</v>
      </c>
      <c r="F40" s="10" t="str">
        <f aca="false">IF(ABS(D40)&lt;0.0001,"OK",IF(ABS(E40)&lt;=0.02,"Mineur","Critique"))</f>
        <v>OK</v>
      </c>
      <c r="G40" s="5" t="str">
        <f aca="false">IF(F40="OK","Aucune",IF(F40="Mineur","Ajustement mineur","Correction urgente"))</f>
        <v>Aucune</v>
      </c>
    </row>
    <row r="41" customFormat="false" ht="15" hidden="false" customHeight="true" outlineLevel="0" collapsed="false">
      <c r="A41" s="5" t="s">
        <v>45</v>
      </c>
      <c r="B41" s="6" t="n">
        <v>1</v>
      </c>
      <c r="C41" s="7" t="n">
        <v>1</v>
      </c>
      <c r="D41" s="8" t="n">
        <f aca="false">C41-B41</f>
        <v>0</v>
      </c>
      <c r="E41" s="9" t="n">
        <f aca="false">IF(B41=0,0,(C41-B41)/B41)</f>
        <v>0</v>
      </c>
      <c r="F41" s="10" t="str">
        <f aca="false">IF(ABS(D41)&lt;0.0001,"OK",IF(ABS(E41)&lt;=0.02,"Mineur","Critique"))</f>
        <v>OK</v>
      </c>
      <c r="G41" s="5" t="str">
        <f aca="false">IF(F41="OK","Aucune",IF(F41="Mineur","Ajustement mineur","Correction urgente"))</f>
        <v>Aucune</v>
      </c>
    </row>
    <row r="42" customFormat="false" ht="15" hidden="false" customHeight="true" outlineLevel="0" collapsed="false">
      <c r="A42" s="5" t="s">
        <v>46</v>
      </c>
      <c r="B42" s="6" t="n">
        <v>1</v>
      </c>
      <c r="C42" s="7" t="n">
        <v>1</v>
      </c>
      <c r="D42" s="8" t="n">
        <f aca="false">C42-B42</f>
        <v>0</v>
      </c>
      <c r="E42" s="9" t="n">
        <f aca="false">IF(B42=0,0,(C42-B42)/B42)</f>
        <v>0</v>
      </c>
      <c r="F42" s="10" t="str">
        <f aca="false">IF(ABS(D42)&lt;0.0001,"OK",IF(ABS(E42)&lt;=0.02,"Mineur","Critique"))</f>
        <v>OK</v>
      </c>
      <c r="G42" s="5" t="str">
        <f aca="false">IF(F42="OK","Aucune",IF(F42="Mineur","Ajustement mineur","Correction urgente"))</f>
        <v>Aucune</v>
      </c>
    </row>
    <row r="43" customFormat="false" ht="15" hidden="false" customHeight="true" outlineLevel="0" collapsed="false">
      <c r="A43" s="5" t="s">
        <v>47</v>
      </c>
      <c r="B43" s="6" t="n">
        <v>1.027</v>
      </c>
      <c r="C43" s="7" t="n">
        <v>0.9809</v>
      </c>
      <c r="D43" s="8" t="n">
        <f aca="false">C43-B43</f>
        <v>-0.0460999999999999</v>
      </c>
      <c r="E43" s="9" t="n">
        <f aca="false">IF(B43=0,0,(C43-B43)/B43)</f>
        <v>-0.044888023369036</v>
      </c>
      <c r="F43" s="10" t="str">
        <f aca="false">IF(ABS(D43)&lt;0.0001,"OK",IF(ABS(E43)&lt;=0.02,"Mineur","Critique"))</f>
        <v>Critique</v>
      </c>
      <c r="G43" s="5" t="str">
        <f aca="false">IF(F43="OK","Aucune",IF(F43="Mineur","Ajustement mineur","Correction urgente"))</f>
        <v>Correction urgente</v>
      </c>
    </row>
    <row r="44" customFormat="false" ht="15" hidden="false" customHeight="true" outlineLevel="0" collapsed="false">
      <c r="A44" s="5" t="s">
        <v>48</v>
      </c>
      <c r="B44" s="6" t="n">
        <v>1</v>
      </c>
      <c r="C44" s="7" t="n">
        <v>1</v>
      </c>
      <c r="D44" s="8" t="n">
        <f aca="false">C44-B44</f>
        <v>0</v>
      </c>
      <c r="E44" s="9" t="n">
        <f aca="false">IF(B44=0,0,(C44-B44)/B44)</f>
        <v>0</v>
      </c>
      <c r="F44" s="10" t="str">
        <f aca="false">IF(ABS(D44)&lt;0.0001,"OK",IF(ABS(E44)&lt;=0.02,"Mineur","Critique"))</f>
        <v>OK</v>
      </c>
      <c r="G44" s="5" t="str">
        <f aca="false">IF(F44="OK","Aucune",IF(F44="Mineur","Ajustement mineur","Correction urgente"))</f>
        <v>Aucune</v>
      </c>
    </row>
    <row r="45" customFormat="false" ht="15" hidden="false" customHeight="true" outlineLevel="0" collapsed="false">
      <c r="A45" s="5" t="s">
        <v>49</v>
      </c>
      <c r="B45" s="6" t="n">
        <v>0.9147</v>
      </c>
      <c r="C45" s="7" t="n">
        <v>0.9147</v>
      </c>
      <c r="D45" s="8" t="n">
        <f aca="false">C45-B45</f>
        <v>0</v>
      </c>
      <c r="E45" s="9" t="n">
        <f aca="false">IF(B45=0,0,(C45-B45)/B45)</f>
        <v>0</v>
      </c>
      <c r="F45" s="10" t="str">
        <f aca="false">IF(ABS(D45)&lt;0.0001,"OK",IF(ABS(E45)&lt;=0.02,"Mineur","Critique"))</f>
        <v>OK</v>
      </c>
      <c r="G45" s="5" t="str">
        <f aca="false">IF(F45="OK","Aucune",IF(F45="Mineur","Ajustement mineur","Correction urgente"))</f>
        <v>Aucune</v>
      </c>
    </row>
    <row r="46" customFormat="false" ht="15" hidden="false" customHeight="true" outlineLevel="0" collapsed="false">
      <c r="A46" s="5" t="s">
        <v>50</v>
      </c>
      <c r="B46" s="6" t="n">
        <v>0.9689</v>
      </c>
      <c r="C46" s="7" t="n">
        <v>0.9689</v>
      </c>
      <c r="D46" s="8" t="n">
        <f aca="false">C46-B46</f>
        <v>0</v>
      </c>
      <c r="E46" s="9" t="n">
        <f aca="false">IF(B46=0,0,(C46-B46)/B46)</f>
        <v>0</v>
      </c>
      <c r="F46" s="10" t="str">
        <f aca="false">IF(ABS(D46)&lt;0.0001,"OK",IF(ABS(E46)&lt;=0.02,"Mineur","Critique"))</f>
        <v>OK</v>
      </c>
      <c r="G46" s="5" t="str">
        <f aca="false">IF(F46="OK","Aucune",IF(F46="Mineur","Ajustement mineur","Correction urgente"))</f>
        <v>Aucune</v>
      </c>
    </row>
    <row r="47" customFormat="false" ht="15" hidden="false" customHeight="true" outlineLevel="0" collapsed="false">
      <c r="A47" s="5" t="s">
        <v>51</v>
      </c>
      <c r="B47" s="6" t="n">
        <v>0.9432</v>
      </c>
      <c r="C47" s="7" t="n">
        <v>0.9599</v>
      </c>
      <c r="D47" s="8" t="n">
        <f aca="false">C47-B47</f>
        <v>0.0166999999999999</v>
      </c>
      <c r="E47" s="9" t="n">
        <f aca="false">IF(B47=0,0,(C47-B47)/B47)</f>
        <v>0.0177056827820186</v>
      </c>
      <c r="F47" s="10" t="str">
        <f aca="false">IF(ABS(D47)&lt;0.0001,"OK",IF(ABS(E47)&lt;=0.02,"Mineur","Critique"))</f>
        <v>Mineur</v>
      </c>
      <c r="G47" s="5" t="str">
        <f aca="false">IF(F47="OK","Aucune",IF(F47="Mineur","Ajustement mineur","Correction urgente"))</f>
        <v>Ajustement mineur</v>
      </c>
    </row>
    <row r="48" customFormat="false" ht="15" hidden="false" customHeight="true" outlineLevel="0" collapsed="false">
      <c r="A48" s="5" t="s">
        <v>52</v>
      </c>
      <c r="B48" s="6" t="n">
        <v>0.9692</v>
      </c>
      <c r="C48" s="7" t="n">
        <v>0.9692</v>
      </c>
      <c r="D48" s="8" t="n">
        <f aca="false">C48-B48</f>
        <v>0</v>
      </c>
      <c r="E48" s="9" t="n">
        <f aca="false">IF(B48=0,0,(C48-B48)/B48)</f>
        <v>0</v>
      </c>
      <c r="F48" s="10" t="str">
        <f aca="false">IF(ABS(D48)&lt;0.0001,"OK",IF(ABS(E48)&lt;=0.02,"Mineur","Critique"))</f>
        <v>OK</v>
      </c>
      <c r="G48" s="5" t="str">
        <f aca="false">IF(F48="OK","Aucune",IF(F48="Mineur","Ajustement mineur","Correction urgente"))</f>
        <v>Aucune</v>
      </c>
    </row>
    <row r="49" customFormat="false" ht="15" hidden="false" customHeight="true" outlineLevel="0" collapsed="false">
      <c r="A49" s="5" t="s">
        <v>53</v>
      </c>
      <c r="B49" s="6" t="n">
        <v>1</v>
      </c>
      <c r="C49" s="7" t="n">
        <v>1</v>
      </c>
      <c r="D49" s="8" t="n">
        <f aca="false">C49-B49</f>
        <v>0</v>
      </c>
      <c r="E49" s="9" t="n">
        <f aca="false">IF(B49=0,0,(C49-B49)/B49)</f>
        <v>0</v>
      </c>
      <c r="F49" s="10" t="str">
        <f aca="false">IF(ABS(D49)&lt;0.0001,"OK",IF(ABS(E49)&lt;=0.02,"Mineur","Critique"))</f>
        <v>OK</v>
      </c>
      <c r="G49" s="5" t="str">
        <f aca="false">IF(F49="OK","Aucune",IF(F49="Mineur","Ajustement mineur","Correction urgente"))</f>
        <v>Aucune</v>
      </c>
    </row>
    <row r="50" customFormat="false" ht="15" hidden="false" customHeight="true" outlineLevel="0" collapsed="false">
      <c r="A50" s="5" t="s">
        <v>54</v>
      </c>
      <c r="B50" s="6" t="n">
        <v>1.115</v>
      </c>
      <c r="C50" s="7" t="n">
        <v>1.115</v>
      </c>
      <c r="D50" s="8" t="n">
        <f aca="false">C50-B50</f>
        <v>0</v>
      </c>
      <c r="E50" s="9" t="n">
        <f aca="false">IF(B50=0,0,(C50-B50)/B50)</f>
        <v>0</v>
      </c>
      <c r="F50" s="10" t="str">
        <f aca="false">IF(ABS(D50)&lt;0.0001,"OK",IF(ABS(E50)&lt;=0.02,"Mineur","Critique"))</f>
        <v>OK</v>
      </c>
      <c r="G50" s="5" t="str">
        <f aca="false">IF(F50="OK","Aucune",IF(F50="Mineur","Ajustement mineur","Correction urgente"))</f>
        <v>Aucune</v>
      </c>
    </row>
    <row r="51" customFormat="false" ht="15" hidden="false" customHeight="true" outlineLevel="0" collapsed="false">
      <c r="A51" s="5" t="s">
        <v>55</v>
      </c>
      <c r="B51" s="6" t="n">
        <v>0.9389</v>
      </c>
      <c r="C51" s="7" t="n">
        <v>0.9121</v>
      </c>
      <c r="D51" s="8" t="n">
        <f aca="false">C51-B51</f>
        <v>-0.0267999999999999</v>
      </c>
      <c r="E51" s="9" t="n">
        <f aca="false">IF(B51=0,0,(C51-B51)/B51)</f>
        <v>-0.0285440408989242</v>
      </c>
      <c r="F51" s="10" t="str">
        <f aca="false">IF(ABS(D51)&lt;0.0001,"OK",IF(ABS(E51)&lt;=0.02,"Mineur","Critique"))</f>
        <v>Critique</v>
      </c>
      <c r="G51" s="5" t="str">
        <f aca="false">IF(F51="OK","Aucune",IF(F51="Mineur","Ajustement mineur","Correction urgente"))</f>
        <v>Correction urgente</v>
      </c>
    </row>
    <row r="52" customFormat="false" ht="15" hidden="false" customHeight="true" outlineLevel="0" collapsed="false">
      <c r="A52" s="5" t="s">
        <v>56</v>
      </c>
      <c r="B52" s="6" t="n">
        <v>1.082</v>
      </c>
      <c r="C52" s="7" t="n">
        <v>1.082</v>
      </c>
      <c r="D52" s="8" t="n">
        <f aca="false">C52-B52</f>
        <v>0</v>
      </c>
      <c r="E52" s="9" t="n">
        <f aca="false">IF(B52=0,0,(C52-B52)/B52)</f>
        <v>0</v>
      </c>
      <c r="F52" s="10" t="str">
        <f aca="false">IF(ABS(D52)&lt;0.0001,"OK",IF(ABS(E52)&lt;=0.02,"Mineur","Critique"))</f>
        <v>OK</v>
      </c>
      <c r="G52" s="5" t="str">
        <f aca="false">IF(F52="OK","Aucune",IF(F52="Mineur","Ajustement mineur","Correction urgente"))</f>
        <v>Aucune</v>
      </c>
    </row>
    <row r="53" customFormat="false" ht="15" hidden="false" customHeight="true" outlineLevel="0" collapsed="false">
      <c r="A53" s="5" t="s">
        <v>57</v>
      </c>
      <c r="B53" s="6" t="n">
        <v>0.9769</v>
      </c>
      <c r="C53" s="7" t="n">
        <v>0.9769</v>
      </c>
      <c r="D53" s="8" t="n">
        <f aca="false">C53-B53</f>
        <v>0</v>
      </c>
      <c r="E53" s="9" t="n">
        <f aca="false">IF(B53=0,0,(C53-B53)/B53)</f>
        <v>0</v>
      </c>
      <c r="F53" s="10" t="str">
        <f aca="false">IF(ABS(D53)&lt;0.0001,"OK",IF(ABS(E53)&lt;=0.02,"Mineur","Critique"))</f>
        <v>OK</v>
      </c>
      <c r="G53" s="5" t="str">
        <f aca="false">IF(F53="OK","Aucune",IF(F53="Mineur","Ajustement mineur","Correction urgente"))</f>
        <v>Aucune</v>
      </c>
    </row>
    <row r="54" customFormat="false" ht="15" hidden="false" customHeight="true" outlineLevel="0" collapsed="false">
      <c r="A54" s="5" t="s">
        <v>58</v>
      </c>
      <c r="B54" s="6" t="n">
        <v>1</v>
      </c>
      <c r="C54" s="7" t="n">
        <v>1</v>
      </c>
      <c r="D54" s="8" t="n">
        <f aca="false">C54-B54</f>
        <v>0</v>
      </c>
      <c r="E54" s="9" t="n">
        <f aca="false">IF(B54=0,0,(C54-B54)/B54)</f>
        <v>0</v>
      </c>
      <c r="F54" s="10" t="str">
        <f aca="false">IF(ABS(D54)&lt;0.0001,"OK",IF(ABS(E54)&lt;=0.02,"Mineur","Critique"))</f>
        <v>OK</v>
      </c>
      <c r="G54" s="5" t="str">
        <f aca="false">IF(F54="OK","Aucune",IF(F54="Mineur","Ajustement mineur","Correction urgente"))</f>
        <v>Aucune</v>
      </c>
    </row>
    <row r="55" customFormat="false" ht="15" hidden="false" customHeight="true" outlineLevel="0" collapsed="false">
      <c r="A55" s="5" t="s">
        <v>59</v>
      </c>
      <c r="B55" s="6" t="n">
        <v>1.052</v>
      </c>
      <c r="C55" s="7" t="n">
        <v>1.052</v>
      </c>
      <c r="D55" s="8" t="n">
        <f aca="false">C55-B55</f>
        <v>0</v>
      </c>
      <c r="E55" s="9" t="n">
        <f aca="false">IF(B55=0,0,(C55-B55)/B55)</f>
        <v>0</v>
      </c>
      <c r="F55" s="10" t="str">
        <f aca="false">IF(ABS(D55)&lt;0.0001,"OK",IF(ABS(E55)&lt;=0.02,"Mineur","Critique"))</f>
        <v>OK</v>
      </c>
      <c r="G55" s="5" t="str">
        <f aca="false">IF(F55="OK","Aucune",IF(F55="Mineur","Ajustement mineur","Correction urgente"))</f>
        <v>Aucune</v>
      </c>
    </row>
    <row r="56" customFormat="false" ht="15" hidden="false" customHeight="true" outlineLevel="0" collapsed="false">
      <c r="A56" s="5" t="s">
        <v>60</v>
      </c>
      <c r="B56" s="6" t="n">
        <v>1.1055</v>
      </c>
      <c r="C56" s="7" t="n">
        <v>1.1055</v>
      </c>
      <c r="D56" s="8" t="n">
        <f aca="false">C56-B56</f>
        <v>0</v>
      </c>
      <c r="E56" s="9" t="n">
        <f aca="false">IF(B56=0,0,(C56-B56)/B56)</f>
        <v>0</v>
      </c>
      <c r="F56" s="10" t="str">
        <f aca="false">IF(ABS(D56)&lt;0.0001,"OK",IF(ABS(E56)&lt;=0.02,"Mineur","Critique"))</f>
        <v>OK</v>
      </c>
      <c r="G56" s="5" t="str">
        <f aca="false">IF(F56="OK","Aucune",IF(F56="Mineur","Ajustement mineur","Correction urgente"))</f>
        <v>Aucune</v>
      </c>
    </row>
    <row r="57" customFormat="false" ht="15" hidden="false" customHeight="true" outlineLevel="0" collapsed="false">
      <c r="A57" s="5" t="s">
        <v>61</v>
      </c>
      <c r="B57" s="6" t="n">
        <v>1.0466</v>
      </c>
      <c r="C57" s="7" t="n">
        <v>1.0466</v>
      </c>
      <c r="D57" s="8" t="n">
        <f aca="false">C57-B57</f>
        <v>0</v>
      </c>
      <c r="E57" s="9" t="n">
        <f aca="false">IF(B57=0,0,(C57-B57)/B57)</f>
        <v>0</v>
      </c>
      <c r="F57" s="10" t="str">
        <f aca="false">IF(ABS(D57)&lt;0.0001,"OK",IF(ABS(E57)&lt;=0.02,"Mineur","Critique"))</f>
        <v>OK</v>
      </c>
      <c r="G57" s="5" t="str">
        <f aca="false">IF(F57="OK","Aucune",IF(F57="Mineur","Ajustement mineur","Correction urgente"))</f>
        <v>Aucune</v>
      </c>
    </row>
    <row r="58" customFormat="false" ht="15" hidden="false" customHeight="true" outlineLevel="0" collapsed="false">
      <c r="A58" s="5" t="s">
        <v>62</v>
      </c>
      <c r="B58" s="6" t="n">
        <v>1.037</v>
      </c>
      <c r="C58" s="7" t="n">
        <v>1.037</v>
      </c>
      <c r="D58" s="8" t="n">
        <f aca="false">C58-B58</f>
        <v>0</v>
      </c>
      <c r="E58" s="9" t="n">
        <f aca="false">IF(B58=0,0,(C58-B58)/B58)</f>
        <v>0</v>
      </c>
      <c r="F58" s="10" t="str">
        <f aca="false">IF(ABS(D58)&lt;0.0001,"OK",IF(ABS(E58)&lt;=0.02,"Mineur","Critique"))</f>
        <v>OK</v>
      </c>
      <c r="G58" s="5" t="str">
        <f aca="false">IF(F58="OK","Aucune",IF(F58="Mineur","Ajustement mineur","Correction urgente"))</f>
        <v>Aucune</v>
      </c>
    </row>
    <row r="59" customFormat="false" ht="15" hidden="false" customHeight="true" outlineLevel="0" collapsed="false">
      <c r="A59" s="5" t="s">
        <v>63</v>
      </c>
      <c r="B59" s="6" t="n">
        <v>0.9253</v>
      </c>
      <c r="C59" s="7" t="n">
        <v>0.9253</v>
      </c>
      <c r="D59" s="8" t="n">
        <f aca="false">C59-B59</f>
        <v>0</v>
      </c>
      <c r="E59" s="9" t="n">
        <f aca="false">IF(B59=0,0,(C59-B59)/B59)</f>
        <v>0</v>
      </c>
      <c r="F59" s="10" t="str">
        <f aca="false">IF(ABS(D59)&lt;0.0001,"OK",IF(ABS(E59)&lt;=0.02,"Mineur","Critique"))</f>
        <v>OK</v>
      </c>
      <c r="G59" s="5" t="str">
        <f aca="false">IF(F59="OK","Aucune",IF(F59="Mineur","Ajustement mineur","Correction urgente"))</f>
        <v>Aucune</v>
      </c>
    </row>
    <row r="60" customFormat="false" ht="15" hidden="false" customHeight="true" outlineLevel="0" collapsed="false">
      <c r="A60" s="5" t="s">
        <v>64</v>
      </c>
      <c r="B60" s="6" t="n">
        <v>0.9497</v>
      </c>
      <c r="C60" s="7" t="n">
        <v>0.9497</v>
      </c>
      <c r="D60" s="8" t="n">
        <f aca="false">C60-B60</f>
        <v>0</v>
      </c>
      <c r="E60" s="9" t="n">
        <f aca="false">IF(B60=0,0,(C60-B60)/B60)</f>
        <v>0</v>
      </c>
      <c r="F60" s="10" t="str">
        <f aca="false">IF(ABS(D60)&lt;0.0001,"OK",IF(ABS(E60)&lt;=0.02,"Mineur","Critique"))</f>
        <v>OK</v>
      </c>
      <c r="G60" s="5" t="str">
        <f aca="false">IF(F60="OK","Aucune",IF(F60="Mineur","Ajustement mineur","Correction urgente"))</f>
        <v>Aucune</v>
      </c>
    </row>
    <row r="61" customFormat="false" ht="15" hidden="false" customHeight="true" outlineLevel="0" collapsed="false">
      <c r="A61" s="5" t="s">
        <v>65</v>
      </c>
      <c r="B61" s="6" t="n">
        <v>1</v>
      </c>
      <c r="C61" s="7" t="n">
        <v>1</v>
      </c>
      <c r="D61" s="8" t="n">
        <f aca="false">C61-B61</f>
        <v>0</v>
      </c>
      <c r="E61" s="9" t="n">
        <f aca="false">IF(B61=0,0,(C61-B61)/B61)</f>
        <v>0</v>
      </c>
      <c r="F61" s="10" t="str">
        <f aca="false">IF(ABS(D61)&lt;0.0001,"OK",IF(ABS(E61)&lt;=0.02,"Mineur","Critique"))</f>
        <v>OK</v>
      </c>
      <c r="G61" s="5" t="str">
        <f aca="false">IF(F61="OK","Aucune",IF(F61="Mineur","Ajustement mineur","Correction urgente"))</f>
        <v>Aucune</v>
      </c>
    </row>
    <row r="62" customFormat="false" ht="15" hidden="false" customHeight="true" outlineLevel="0" collapsed="false">
      <c r="A62" s="5" t="s">
        <v>66</v>
      </c>
      <c r="B62" s="6" t="n">
        <v>1.1483</v>
      </c>
      <c r="C62" s="7" t="n">
        <v>1.1483</v>
      </c>
      <c r="D62" s="8" t="n">
        <f aca="false">C62-B62</f>
        <v>0</v>
      </c>
      <c r="E62" s="9" t="n">
        <f aca="false">IF(B62=0,0,(C62-B62)/B62)</f>
        <v>0</v>
      </c>
      <c r="F62" s="10" t="str">
        <f aca="false">IF(ABS(D62)&lt;0.0001,"OK",IF(ABS(E62)&lt;=0.02,"Mineur","Critique"))</f>
        <v>OK</v>
      </c>
      <c r="G62" s="5" t="str">
        <f aca="false">IF(F62="OK","Aucune",IF(F62="Mineur","Ajustement mineur","Correction urgente"))</f>
        <v>Aucune</v>
      </c>
    </row>
    <row r="63" customFormat="false" ht="15" hidden="false" customHeight="true" outlineLevel="0" collapsed="false">
      <c r="A63" s="5" t="s">
        <v>67</v>
      </c>
      <c r="B63" s="6" t="n">
        <v>1.0921</v>
      </c>
      <c r="C63" s="7" t="n">
        <v>1.0921</v>
      </c>
      <c r="D63" s="8" t="n">
        <f aca="false">C63-B63</f>
        <v>0</v>
      </c>
      <c r="E63" s="9" t="n">
        <f aca="false">IF(B63=0,0,(C63-B63)/B63)</f>
        <v>0</v>
      </c>
      <c r="F63" s="10" t="str">
        <f aca="false">IF(ABS(D63)&lt;0.0001,"OK",IF(ABS(E63)&lt;=0.02,"Mineur","Critique"))</f>
        <v>OK</v>
      </c>
      <c r="G63" s="5" t="str">
        <f aca="false">IF(F63="OK","Aucune",IF(F63="Mineur","Ajustement mineur","Correction urgente"))</f>
        <v>Aucune</v>
      </c>
    </row>
    <row r="64" customFormat="false" ht="15" hidden="false" customHeight="true" outlineLevel="0" collapsed="false">
      <c r="A64" s="5" t="s">
        <v>68</v>
      </c>
      <c r="B64" s="6" t="n">
        <v>0.9703</v>
      </c>
      <c r="C64" s="7" t="n">
        <v>0.9703</v>
      </c>
      <c r="D64" s="8" t="n">
        <f aca="false">C64-B64</f>
        <v>0</v>
      </c>
      <c r="E64" s="9" t="n">
        <f aca="false">IF(B64=0,0,(C64-B64)/B64)</f>
        <v>0</v>
      </c>
      <c r="F64" s="10" t="str">
        <f aca="false">IF(ABS(D64)&lt;0.0001,"OK",IF(ABS(E64)&lt;=0.02,"Mineur","Critique"))</f>
        <v>OK</v>
      </c>
      <c r="G64" s="5" t="str">
        <f aca="false">IF(F64="OK","Aucune",IF(F64="Mineur","Ajustement mineur","Correction urgente"))</f>
        <v>Aucune</v>
      </c>
    </row>
    <row r="65" customFormat="false" ht="15" hidden="false" customHeight="true" outlineLevel="0" collapsed="false">
      <c r="A65" s="5" t="s">
        <v>69</v>
      </c>
      <c r="B65" s="6" t="n">
        <v>0.9124</v>
      </c>
      <c r="C65" s="7" t="n">
        <v>0.9124</v>
      </c>
      <c r="D65" s="8" t="n">
        <f aca="false">C65-B65</f>
        <v>0</v>
      </c>
      <c r="E65" s="9" t="n">
        <f aca="false">IF(B65=0,0,(C65-B65)/B65)</f>
        <v>0</v>
      </c>
      <c r="F65" s="10" t="str">
        <f aca="false">IF(ABS(D65)&lt;0.0001,"OK",IF(ABS(E65)&lt;=0.02,"Mineur","Critique"))</f>
        <v>OK</v>
      </c>
      <c r="G65" s="5" t="str">
        <f aca="false">IF(F65="OK","Aucune",IF(F65="Mineur","Ajustement mineur","Correction urgente"))</f>
        <v>Aucune</v>
      </c>
    </row>
    <row r="66" customFormat="false" ht="15" hidden="false" customHeight="true" outlineLevel="0" collapsed="false">
      <c r="A66" s="5" t="s">
        <v>70</v>
      </c>
      <c r="B66" s="6" t="n">
        <v>1</v>
      </c>
      <c r="C66" s="7" t="n">
        <v>1</v>
      </c>
      <c r="D66" s="8" t="n">
        <f aca="false">C66-B66</f>
        <v>0</v>
      </c>
      <c r="E66" s="9" t="n">
        <f aca="false">IF(B66=0,0,(C66-B66)/B66)</f>
        <v>0</v>
      </c>
      <c r="F66" s="10" t="str">
        <f aca="false">IF(ABS(D66)&lt;0.0001,"OK",IF(ABS(E66)&lt;=0.02,"Mineur","Critique"))</f>
        <v>OK</v>
      </c>
      <c r="G66" s="5" t="str">
        <f aca="false">IF(F66="OK","Aucune",IF(F66="Mineur","Ajustement mineur","Correction urgente"))</f>
        <v>Aucune</v>
      </c>
    </row>
    <row r="67" customFormat="false" ht="15" hidden="false" customHeight="true" outlineLevel="0" collapsed="false">
      <c r="A67" s="5" t="s">
        <v>71</v>
      </c>
      <c r="B67" s="6" t="n">
        <v>0.9201</v>
      </c>
      <c r="C67" s="7" t="n">
        <v>0.9201</v>
      </c>
      <c r="D67" s="8" t="n">
        <f aca="false">C67-B67</f>
        <v>0</v>
      </c>
      <c r="E67" s="9" t="n">
        <f aca="false">IF(B67=0,0,(C67-B67)/B67)</f>
        <v>0</v>
      </c>
      <c r="F67" s="10" t="str">
        <f aca="false">IF(ABS(D67)&lt;0.0001,"OK",IF(ABS(E67)&lt;=0.02,"Mineur","Critique"))</f>
        <v>OK</v>
      </c>
      <c r="G67" s="5" t="str">
        <f aca="false">IF(F67="OK","Aucune",IF(F67="Mineur","Ajustement mineur","Correction urgente"))</f>
        <v>Aucune</v>
      </c>
    </row>
    <row r="68" customFormat="false" ht="15" hidden="false" customHeight="true" outlineLevel="0" collapsed="false">
      <c r="A68" s="5" t="s">
        <v>72</v>
      </c>
      <c r="B68" s="6" t="n">
        <v>0.9339</v>
      </c>
      <c r="C68" s="7" t="n">
        <v>0.9339</v>
      </c>
      <c r="D68" s="8" t="n">
        <f aca="false">C68-B68</f>
        <v>0</v>
      </c>
      <c r="E68" s="9" t="n">
        <f aca="false">IF(B68=0,0,(C68-B68)/B68)</f>
        <v>0</v>
      </c>
      <c r="F68" s="10" t="str">
        <f aca="false">IF(ABS(D68)&lt;0.0001,"OK",IF(ABS(E68)&lt;=0.02,"Mineur","Critique"))</f>
        <v>OK</v>
      </c>
      <c r="G68" s="5" t="str">
        <f aca="false">IF(F68="OK","Aucune",IF(F68="Mineur","Ajustement mineur","Correction urgente"))</f>
        <v>Aucune</v>
      </c>
    </row>
    <row r="69" customFormat="false" ht="15" hidden="false" customHeight="true" outlineLevel="0" collapsed="false">
      <c r="A69" s="5" t="s">
        <v>73</v>
      </c>
      <c r="B69" s="6" t="n">
        <v>0.9105</v>
      </c>
      <c r="C69" s="7" t="n">
        <v>0.9105</v>
      </c>
      <c r="D69" s="8" t="n">
        <f aca="false">C69-B69</f>
        <v>0</v>
      </c>
      <c r="E69" s="9" t="n">
        <f aca="false">IF(B69=0,0,(C69-B69)/B69)</f>
        <v>0</v>
      </c>
      <c r="F69" s="10" t="str">
        <f aca="false">IF(ABS(D69)&lt;0.0001,"OK",IF(ABS(E69)&lt;=0.02,"Mineur","Critique"))</f>
        <v>OK</v>
      </c>
      <c r="G69" s="5" t="str">
        <f aca="false">IF(F69="OK","Aucune",IF(F69="Mineur","Ajustement mineur","Correction urgente"))</f>
        <v>Aucune</v>
      </c>
    </row>
    <row r="70" customFormat="false" ht="15" hidden="false" customHeight="true" outlineLevel="0" collapsed="false">
      <c r="A70" s="5" t="s">
        <v>74</v>
      </c>
      <c r="B70" s="6" t="n">
        <v>0.9441</v>
      </c>
      <c r="C70" s="7" t="n">
        <v>0.9441</v>
      </c>
      <c r="D70" s="8" t="n">
        <f aca="false">C70-B70</f>
        <v>0</v>
      </c>
      <c r="E70" s="9" t="n">
        <f aca="false">IF(B70=0,0,(C70-B70)/B70)</f>
        <v>0</v>
      </c>
      <c r="F70" s="10" t="str">
        <f aca="false">IF(ABS(D70)&lt;0.0001,"OK",IF(ABS(E70)&lt;=0.02,"Mineur","Critique"))</f>
        <v>OK</v>
      </c>
      <c r="G70" s="5" t="str">
        <f aca="false">IF(F70="OK","Aucune",IF(F70="Mineur","Ajustement mineur","Correction urgente"))</f>
        <v>Aucune</v>
      </c>
    </row>
    <row r="71" customFormat="false" ht="15" hidden="false" customHeight="true" outlineLevel="0" collapsed="false">
      <c r="A71" s="5" t="s">
        <v>75</v>
      </c>
      <c r="B71" s="6" t="n">
        <v>0.9756</v>
      </c>
      <c r="C71" s="7" t="n">
        <v>0.9756</v>
      </c>
      <c r="D71" s="8" t="n">
        <f aca="false">C71-B71</f>
        <v>0</v>
      </c>
      <c r="E71" s="9" t="n">
        <f aca="false">IF(B71=0,0,(C71-B71)/B71)</f>
        <v>0</v>
      </c>
      <c r="F71" s="10" t="str">
        <f aca="false">IF(ABS(D71)&lt;0.0001,"OK",IF(ABS(E71)&lt;=0.02,"Mineur","Critique"))</f>
        <v>OK</v>
      </c>
      <c r="G71" s="5" t="str">
        <f aca="false">IF(F71="OK","Aucune",IF(F71="Mineur","Ajustement mineur","Correction urgente"))</f>
        <v>Aucune</v>
      </c>
    </row>
    <row r="72" customFormat="false" ht="15" hidden="false" customHeight="true" outlineLevel="0" collapsed="false">
      <c r="A72" s="5" t="s">
        <v>76</v>
      </c>
      <c r="B72" s="6" t="n">
        <v>0.9668</v>
      </c>
      <c r="C72" s="7" t="n">
        <v>0.9668</v>
      </c>
      <c r="D72" s="8" t="n">
        <f aca="false">C72-B72</f>
        <v>0</v>
      </c>
      <c r="E72" s="9" t="n">
        <f aca="false">IF(B72=0,0,(C72-B72)/B72)</f>
        <v>0</v>
      </c>
      <c r="F72" s="10" t="str">
        <f aca="false">IF(ABS(D72)&lt;0.0001,"OK",IF(ABS(E72)&lt;=0.02,"Mineur","Critique"))</f>
        <v>OK</v>
      </c>
      <c r="G72" s="5" t="str">
        <f aca="false">IF(F72="OK","Aucune",IF(F72="Mineur","Ajustement mineur","Correction urgente"))</f>
        <v>Aucune</v>
      </c>
    </row>
    <row r="73" customFormat="false" ht="15" hidden="false" customHeight="true" outlineLevel="0" collapsed="false">
      <c r="A73" s="5" t="s">
        <v>77</v>
      </c>
      <c r="B73" s="6" t="n">
        <v>0.9033</v>
      </c>
      <c r="C73" s="7" t="n">
        <v>0.8239</v>
      </c>
      <c r="D73" s="8" t="n">
        <f aca="false">C73-B73</f>
        <v>-0.0794</v>
      </c>
      <c r="E73" s="9" t="n">
        <f aca="false">IF(B73=0,0,(C73-B73)/B73)</f>
        <v>-0.0878999225063656</v>
      </c>
      <c r="F73" s="10" t="str">
        <f aca="false">IF(ABS(D73)&lt;0.0001,"OK",IF(ABS(E73)&lt;=0.02,"Mineur","Critique"))</f>
        <v>Critique</v>
      </c>
      <c r="G73" s="5" t="str">
        <f aca="false">IF(F73="OK","Aucune",IF(F73="Mineur","Ajustement mineur","Correction urgente"))</f>
        <v>Correction urgente</v>
      </c>
    </row>
    <row r="74" customFormat="false" ht="15" hidden="false" customHeight="true" outlineLevel="0" collapsed="false">
      <c r="A74" s="5" t="s">
        <v>78</v>
      </c>
      <c r="B74" s="6" t="n">
        <v>0.9779</v>
      </c>
      <c r="C74" s="7" t="n">
        <v>0.9669</v>
      </c>
      <c r="D74" s="8" t="n">
        <f aca="false">C74-B74</f>
        <v>-0.011</v>
      </c>
      <c r="E74" s="9" t="n">
        <f aca="false">IF(B74=0,0,(C74-B74)/B74)</f>
        <v>-0.0112485939257593</v>
      </c>
      <c r="F74" s="10" t="str">
        <f aca="false">IF(ABS(D74)&lt;0.0001,"OK",IF(ABS(E74)&lt;=0.02,"Mineur","Critique"))</f>
        <v>Mineur</v>
      </c>
      <c r="G74" s="5" t="str">
        <f aca="false">IF(F74="OK","Aucune",IF(F74="Mineur","Ajustement mineur","Correction urgente"))</f>
        <v>Ajustement mineur</v>
      </c>
    </row>
    <row r="75" customFormat="false" ht="15" hidden="false" customHeight="true" outlineLevel="0" collapsed="false">
      <c r="A75" s="5" t="s">
        <v>79</v>
      </c>
      <c r="B75" s="6" t="n">
        <v>1</v>
      </c>
      <c r="C75" s="7" t="n">
        <v>0.9846</v>
      </c>
      <c r="D75" s="8" t="n">
        <f aca="false">C75-B75</f>
        <v>-0.0154</v>
      </c>
      <c r="E75" s="9" t="n">
        <f aca="false">IF(B75=0,0,(C75-B75)/B75)</f>
        <v>-0.0154</v>
      </c>
      <c r="F75" s="10" t="str">
        <f aca="false">IF(ABS(D75)&lt;0.0001,"OK",IF(ABS(E75)&lt;=0.02,"Mineur","Critique"))</f>
        <v>Mineur</v>
      </c>
      <c r="G75" s="5" t="str">
        <f aca="false">IF(F75="OK","Aucune",IF(F75="Mineur","Ajustement mineur","Correction urgente"))</f>
        <v>Ajustement mineur</v>
      </c>
    </row>
    <row r="76" customFormat="false" ht="15" hidden="false" customHeight="true" outlineLevel="0" collapsed="false">
      <c r="A76" s="5" t="s">
        <v>80</v>
      </c>
      <c r="B76" s="6" t="n">
        <v>1</v>
      </c>
      <c r="C76" s="7" t="n">
        <v>1</v>
      </c>
      <c r="D76" s="8" t="n">
        <f aca="false">C76-B76</f>
        <v>0</v>
      </c>
      <c r="E76" s="9" t="n">
        <f aca="false">IF(B76=0,0,(C76-B76)/B76)</f>
        <v>0</v>
      </c>
      <c r="F76" s="10" t="str">
        <f aca="false">IF(ABS(D76)&lt;0.0001,"OK",IF(ABS(E76)&lt;=0.02,"Mineur","Critique"))</f>
        <v>OK</v>
      </c>
      <c r="G76" s="5" t="str">
        <f aca="false">IF(F76="OK","Aucune",IF(F76="Mineur","Ajustement mineur","Correction urgente"))</f>
        <v>Aucune</v>
      </c>
    </row>
    <row r="77" customFormat="false" ht="15" hidden="false" customHeight="true" outlineLevel="0" collapsed="false">
      <c r="A77" s="5" t="s">
        <v>81</v>
      </c>
      <c r="B77" s="6" t="n">
        <v>1</v>
      </c>
      <c r="C77" s="7" t="n">
        <v>1.032</v>
      </c>
      <c r="D77" s="8" t="n">
        <f aca="false">C77-B77</f>
        <v>0.032</v>
      </c>
      <c r="E77" s="9" t="n">
        <f aca="false">IF(B77=0,0,(C77-B77)/B77)</f>
        <v>0.032</v>
      </c>
      <c r="F77" s="10" t="str">
        <f aca="false">IF(ABS(D77)&lt;0.0001,"OK",IF(ABS(E77)&lt;=0.02,"Mineur","Critique"))</f>
        <v>Critique</v>
      </c>
      <c r="G77" s="5" t="str">
        <f aca="false">IF(F77="OK","Aucune",IF(F77="Mineur","Ajustement mineur","Correction urgente"))</f>
        <v>Correction urgente</v>
      </c>
    </row>
    <row r="78" customFormat="false" ht="15" hidden="false" customHeight="true" outlineLevel="0" collapsed="false">
      <c r="A78" s="5" t="s">
        <v>82</v>
      </c>
      <c r="B78" s="6" t="n">
        <v>1</v>
      </c>
      <c r="C78" s="7" t="n">
        <v>1</v>
      </c>
      <c r="D78" s="8" t="n">
        <f aca="false">C78-B78</f>
        <v>0</v>
      </c>
      <c r="E78" s="9" t="n">
        <f aca="false">IF(B78=0,0,(C78-B78)/B78)</f>
        <v>0</v>
      </c>
      <c r="F78" s="10" t="str">
        <f aca="false">IF(ABS(D78)&lt;0.0001,"OK",IF(ABS(E78)&lt;=0.02,"Mineur","Critique"))</f>
        <v>OK</v>
      </c>
      <c r="G78" s="5" t="str">
        <f aca="false">IF(F78="OK","Aucune",IF(F78="Mineur","Ajustement mineur","Correction urgente"))</f>
        <v>Aucune</v>
      </c>
    </row>
    <row r="79" customFormat="false" ht="15" hidden="false" customHeight="true" outlineLevel="0" collapsed="false">
      <c r="A79" s="5" t="s">
        <v>83</v>
      </c>
      <c r="B79" s="6" t="n">
        <v>1.1083</v>
      </c>
      <c r="C79" s="7" t="n">
        <v>1.1083</v>
      </c>
      <c r="D79" s="8" t="n">
        <f aca="false">C79-B79</f>
        <v>0</v>
      </c>
      <c r="E79" s="9" t="n">
        <f aca="false">IF(B79=0,0,(C79-B79)/B79)</f>
        <v>0</v>
      </c>
      <c r="F79" s="10" t="str">
        <f aca="false">IF(ABS(D79)&lt;0.0001,"OK",IF(ABS(E79)&lt;=0.02,"Mineur","Critique"))</f>
        <v>OK</v>
      </c>
      <c r="G79" s="5" t="str">
        <f aca="false">IF(F79="OK","Aucune",IF(F79="Mineur","Ajustement mineur","Correction urgente"))</f>
        <v>Aucune</v>
      </c>
    </row>
    <row r="80" customFormat="false" ht="15" hidden="false" customHeight="true" outlineLevel="0" collapsed="false">
      <c r="A80" s="5" t="s">
        <v>84</v>
      </c>
      <c r="B80" s="6" t="n">
        <v>1</v>
      </c>
      <c r="C80" s="7" t="n">
        <v>1</v>
      </c>
      <c r="D80" s="8" t="n">
        <f aca="false">C80-B80</f>
        <v>0</v>
      </c>
      <c r="E80" s="9" t="n">
        <f aca="false">IF(B80=0,0,(C80-B80)/B80)</f>
        <v>0</v>
      </c>
      <c r="F80" s="10" t="str">
        <f aca="false">IF(ABS(D80)&lt;0.0001,"OK",IF(ABS(E80)&lt;=0.02,"Mineur","Critique"))</f>
        <v>OK</v>
      </c>
      <c r="G80" s="5" t="str">
        <f aca="false">IF(F80="OK","Aucune",IF(F80="Mineur","Ajustement mineur","Correction urgente"))</f>
        <v>Aucune</v>
      </c>
    </row>
    <row r="81" customFormat="false" ht="15" hidden="false" customHeight="true" outlineLevel="0" collapsed="false">
      <c r="A81" s="5" t="s">
        <v>85</v>
      </c>
      <c r="B81" s="6" t="n">
        <v>0.977</v>
      </c>
      <c r="C81" s="7" t="n">
        <v>0.977</v>
      </c>
      <c r="D81" s="8" t="n">
        <f aca="false">C81-B81</f>
        <v>0</v>
      </c>
      <c r="E81" s="9" t="n">
        <f aca="false">IF(B81=0,0,(C81-B81)/B81)</f>
        <v>0</v>
      </c>
      <c r="F81" s="10" t="str">
        <f aca="false">IF(ABS(D81)&lt;0.0001,"OK",IF(ABS(E81)&lt;=0.02,"Mineur","Critique"))</f>
        <v>OK</v>
      </c>
      <c r="G81" s="5" t="str">
        <f aca="false">IF(F81="OK","Aucune",IF(F81="Mineur","Ajustement mineur","Correction urgente"))</f>
        <v>Aucune</v>
      </c>
    </row>
    <row r="82" customFormat="false" ht="15" hidden="false" customHeight="true" outlineLevel="0" collapsed="false">
      <c r="A82" s="5" t="s">
        <v>86</v>
      </c>
      <c r="B82" s="6" t="n">
        <v>1</v>
      </c>
      <c r="C82" s="7" t="n">
        <v>1</v>
      </c>
      <c r="D82" s="8" t="n">
        <f aca="false">C82-B82</f>
        <v>0</v>
      </c>
      <c r="E82" s="9" t="n">
        <f aca="false">IF(B82=0,0,(C82-B82)/B82)</f>
        <v>0</v>
      </c>
      <c r="F82" s="10" t="str">
        <f aca="false">IF(ABS(D82)&lt;0.0001,"OK",IF(ABS(E82)&lt;=0.02,"Mineur","Critique"))</f>
        <v>OK</v>
      </c>
      <c r="G82" s="5" t="str">
        <f aca="false">IF(F82="OK","Aucune",IF(F82="Mineur","Ajustement mineur","Correction urgente"))</f>
        <v>Aucune</v>
      </c>
    </row>
    <row r="83" customFormat="false" ht="15" hidden="false" customHeight="true" outlineLevel="0" collapsed="false">
      <c r="A83" s="5" t="s">
        <v>87</v>
      </c>
      <c r="B83" s="6" t="n">
        <v>1.0701</v>
      </c>
      <c r="C83" s="7" t="n">
        <v>1.0701</v>
      </c>
      <c r="D83" s="8" t="n">
        <f aca="false">C83-B83</f>
        <v>0</v>
      </c>
      <c r="E83" s="9" t="n">
        <f aca="false">IF(B83=0,0,(C83-B83)/B83)</f>
        <v>0</v>
      </c>
      <c r="F83" s="10" t="str">
        <f aca="false">IF(ABS(D83)&lt;0.0001,"OK",IF(ABS(E83)&lt;=0.02,"Mineur","Critique"))</f>
        <v>OK</v>
      </c>
      <c r="G83" s="5" t="str">
        <f aca="false">IF(F83="OK","Aucune",IF(F83="Mineur","Ajustement mineur","Correction urgente"))</f>
        <v>Aucune</v>
      </c>
    </row>
    <row r="84" customFormat="false" ht="15" hidden="false" customHeight="true" outlineLevel="0" collapsed="false">
      <c r="A84" s="5" t="s">
        <v>88</v>
      </c>
      <c r="B84" s="6" t="n">
        <v>1.0767</v>
      </c>
      <c r="C84" s="7" t="n">
        <v>1.1155</v>
      </c>
      <c r="D84" s="8" t="n">
        <f aca="false">C84-B84</f>
        <v>0.0387999999999999</v>
      </c>
      <c r="E84" s="9" t="n">
        <f aca="false">IF(B84=0,0,(C84-B84)/B84)</f>
        <v>0.036036036036036</v>
      </c>
      <c r="F84" s="10" t="str">
        <f aca="false">IF(ABS(D84)&lt;0.0001,"OK",IF(ABS(E84)&lt;=0.02,"Mineur","Critique"))</f>
        <v>Critique</v>
      </c>
      <c r="G84" s="5" t="str">
        <f aca="false">IF(F84="OK","Aucune",IF(F84="Mineur","Ajustement mineur","Correction urgente"))</f>
        <v>Correction urgente</v>
      </c>
    </row>
    <row r="85" customFormat="false" ht="15" hidden="false" customHeight="true" outlineLevel="0" collapsed="false">
      <c r="A85" s="5" t="s">
        <v>89</v>
      </c>
      <c r="B85" s="6" t="n">
        <v>1.0291</v>
      </c>
      <c r="C85" s="7" t="n">
        <v>1.0291</v>
      </c>
      <c r="D85" s="8" t="n">
        <f aca="false">C85-B85</f>
        <v>0</v>
      </c>
      <c r="E85" s="9" t="n">
        <f aca="false">IF(B85=0,0,(C85-B85)/B85)</f>
        <v>0</v>
      </c>
      <c r="F85" s="10" t="str">
        <f aca="false">IF(ABS(D85)&lt;0.0001,"OK",IF(ABS(E85)&lt;=0.02,"Mineur","Critique"))</f>
        <v>OK</v>
      </c>
      <c r="G85" s="5" t="str">
        <f aca="false">IF(F85="OK","Aucune",IF(F85="Mineur","Ajustement mineur","Correction urgente"))</f>
        <v>Aucune</v>
      </c>
    </row>
    <row r="86" customFormat="false" ht="15" hidden="false" customHeight="true" outlineLevel="0" collapsed="false">
      <c r="A86" s="5" t="s">
        <v>90</v>
      </c>
      <c r="B86" s="6" t="n">
        <v>1</v>
      </c>
      <c r="C86" s="7" t="n">
        <v>1</v>
      </c>
      <c r="D86" s="8" t="n">
        <f aca="false">C86-B86</f>
        <v>0</v>
      </c>
      <c r="E86" s="9" t="n">
        <f aca="false">IF(B86=0,0,(C86-B86)/B86)</f>
        <v>0</v>
      </c>
      <c r="F86" s="10" t="str">
        <f aca="false">IF(ABS(D86)&lt;0.0001,"OK",IF(ABS(E86)&lt;=0.02,"Mineur","Critique"))</f>
        <v>OK</v>
      </c>
      <c r="G86" s="5" t="str">
        <f aca="false">IF(F86="OK","Aucune",IF(F86="Mineur","Ajustement mineur","Correction urgente"))</f>
        <v>Aucune</v>
      </c>
    </row>
    <row r="87" customFormat="false" ht="15" hidden="false" customHeight="true" outlineLevel="0" collapsed="false">
      <c r="A87" s="5" t="s">
        <v>91</v>
      </c>
      <c r="B87" s="6" t="n">
        <v>1</v>
      </c>
      <c r="C87" s="7" t="n">
        <v>1</v>
      </c>
      <c r="D87" s="8" t="n">
        <f aca="false">C87-B87</f>
        <v>0</v>
      </c>
      <c r="E87" s="9" t="n">
        <f aca="false">IF(B87=0,0,(C87-B87)/B87)</f>
        <v>0</v>
      </c>
      <c r="F87" s="10" t="str">
        <f aca="false">IF(ABS(D87)&lt;0.0001,"OK",IF(ABS(E87)&lt;=0.02,"Mineur","Critique"))</f>
        <v>OK</v>
      </c>
      <c r="G87" s="5" t="str">
        <f aca="false">IF(F87="OK","Aucune",IF(F87="Mineur","Ajustement mineur","Correction urgente"))</f>
        <v>Aucune</v>
      </c>
    </row>
    <row r="88" customFormat="false" ht="15" hidden="false" customHeight="true" outlineLevel="0" collapsed="false">
      <c r="A88" s="5" t="s">
        <v>92</v>
      </c>
      <c r="B88" s="6" t="n">
        <v>0.9303</v>
      </c>
      <c r="C88" s="7" t="n">
        <v>0.9303</v>
      </c>
      <c r="D88" s="8" t="n">
        <f aca="false">C88-B88</f>
        <v>0</v>
      </c>
      <c r="E88" s="9" t="n">
        <f aca="false">IF(B88=0,0,(C88-B88)/B88)</f>
        <v>0</v>
      </c>
      <c r="F88" s="10" t="str">
        <f aca="false">IF(ABS(D88)&lt;0.0001,"OK",IF(ABS(E88)&lt;=0.02,"Mineur","Critique"))</f>
        <v>OK</v>
      </c>
      <c r="G88" s="5" t="str">
        <f aca="false">IF(F88="OK","Aucune",IF(F88="Mineur","Ajustement mineur","Correction urgente"))</f>
        <v>Aucune</v>
      </c>
    </row>
    <row r="89" customFormat="false" ht="15" hidden="false" customHeight="true" outlineLevel="0" collapsed="false">
      <c r="A89" s="5" t="s">
        <v>93</v>
      </c>
      <c r="B89" s="6" t="n">
        <v>0.9241</v>
      </c>
      <c r="C89" s="7" t="n">
        <v>0.9241</v>
      </c>
      <c r="D89" s="8" t="n">
        <f aca="false">C89-B89</f>
        <v>0</v>
      </c>
      <c r="E89" s="9" t="n">
        <f aca="false">IF(B89=0,0,(C89-B89)/B89)</f>
        <v>0</v>
      </c>
      <c r="F89" s="10" t="str">
        <f aca="false">IF(ABS(D89)&lt;0.0001,"OK",IF(ABS(E89)&lt;=0.02,"Mineur","Critique"))</f>
        <v>OK</v>
      </c>
      <c r="G89" s="5" t="str">
        <f aca="false">IF(F89="OK","Aucune",IF(F89="Mineur","Ajustement mineur","Correction urgente"))</f>
        <v>Aucune</v>
      </c>
    </row>
    <row r="90" customFormat="false" ht="15" hidden="false" customHeight="true" outlineLevel="0" collapsed="false">
      <c r="A90" s="5" t="s">
        <v>94</v>
      </c>
      <c r="B90" s="6" t="n">
        <v>1.1221</v>
      </c>
      <c r="C90" s="7" t="n">
        <v>1.1221</v>
      </c>
      <c r="D90" s="8" t="n">
        <f aca="false">C90-B90</f>
        <v>0</v>
      </c>
      <c r="E90" s="9" t="n">
        <f aca="false">IF(B90=0,0,(C90-B90)/B90)</f>
        <v>0</v>
      </c>
      <c r="F90" s="10" t="str">
        <f aca="false">IF(ABS(D90)&lt;0.0001,"OK",IF(ABS(E90)&lt;=0.02,"Mineur","Critique"))</f>
        <v>OK</v>
      </c>
      <c r="G90" s="5" t="str">
        <f aca="false">IF(F90="OK","Aucune",IF(F90="Mineur","Ajustement mineur","Correction urgente"))</f>
        <v>Aucune</v>
      </c>
    </row>
    <row r="91" customFormat="false" ht="15" hidden="false" customHeight="true" outlineLevel="0" collapsed="false">
      <c r="A91" s="5" t="s">
        <v>95</v>
      </c>
      <c r="B91" s="6" t="n">
        <v>0.9372</v>
      </c>
      <c r="C91" s="7" t="n">
        <v>0.9372</v>
      </c>
      <c r="D91" s="8" t="n">
        <f aca="false">C91-B91</f>
        <v>0</v>
      </c>
      <c r="E91" s="9" t="n">
        <f aca="false">IF(B91=0,0,(C91-B91)/B91)</f>
        <v>0</v>
      </c>
      <c r="F91" s="10" t="str">
        <f aca="false">IF(ABS(D91)&lt;0.0001,"OK",IF(ABS(E91)&lt;=0.02,"Mineur","Critique"))</f>
        <v>OK</v>
      </c>
      <c r="G91" s="5" t="str">
        <f aca="false">IF(F91="OK","Aucune",IF(F91="Mineur","Ajustement mineur","Correction urgente"))</f>
        <v>Aucune</v>
      </c>
    </row>
    <row r="92" customFormat="false" ht="15" hidden="false" customHeight="true" outlineLevel="0" collapsed="false">
      <c r="A92" s="5" t="s">
        <v>96</v>
      </c>
      <c r="B92" s="6" t="n">
        <v>1.1448</v>
      </c>
      <c r="C92" s="7" t="n">
        <v>1.1448</v>
      </c>
      <c r="D92" s="8" t="n">
        <f aca="false">C92-B92</f>
        <v>0</v>
      </c>
      <c r="E92" s="9" t="n">
        <f aca="false">IF(B92=0,0,(C92-B92)/B92)</f>
        <v>0</v>
      </c>
      <c r="F92" s="10" t="str">
        <f aca="false">IF(ABS(D92)&lt;0.0001,"OK",IF(ABS(E92)&lt;=0.02,"Mineur","Critique"))</f>
        <v>OK</v>
      </c>
      <c r="G92" s="5" t="str">
        <f aca="false">IF(F92="OK","Aucune",IF(F92="Mineur","Ajustement mineur","Correction urgente"))</f>
        <v>Aucune</v>
      </c>
    </row>
    <row r="93" customFormat="false" ht="15" hidden="false" customHeight="true" outlineLevel="0" collapsed="false">
      <c r="A93" s="5" t="s">
        <v>97</v>
      </c>
      <c r="B93" s="6" t="n">
        <v>1.087</v>
      </c>
      <c r="C93" s="7" t="n">
        <v>1.087</v>
      </c>
      <c r="D93" s="8" t="n">
        <f aca="false">C93-B93</f>
        <v>0</v>
      </c>
      <c r="E93" s="9" t="n">
        <f aca="false">IF(B93=0,0,(C93-B93)/B93)</f>
        <v>0</v>
      </c>
      <c r="F93" s="10" t="str">
        <f aca="false">IF(ABS(D93)&lt;0.0001,"OK",IF(ABS(E93)&lt;=0.02,"Mineur","Critique"))</f>
        <v>OK</v>
      </c>
      <c r="G93" s="5" t="str">
        <f aca="false">IF(F93="OK","Aucune",IF(F93="Mineur","Ajustement mineur","Correction urgente"))</f>
        <v>Aucune</v>
      </c>
    </row>
    <row r="94" customFormat="false" ht="15" hidden="false" customHeight="true" outlineLevel="0" collapsed="false">
      <c r="A94" s="5" t="s">
        <v>98</v>
      </c>
      <c r="B94" s="6" t="n">
        <v>0.9075</v>
      </c>
      <c r="C94" s="7" t="n">
        <v>0.9075</v>
      </c>
      <c r="D94" s="8" t="n">
        <f aca="false">C94-B94</f>
        <v>0</v>
      </c>
      <c r="E94" s="9" t="n">
        <f aca="false">IF(B94=0,0,(C94-B94)/B94)</f>
        <v>0</v>
      </c>
      <c r="F94" s="10" t="str">
        <f aca="false">IF(ABS(D94)&lt;0.0001,"OK",IF(ABS(E94)&lt;=0.02,"Mineur","Critique"))</f>
        <v>OK</v>
      </c>
      <c r="G94" s="5" t="str">
        <f aca="false">IF(F94="OK","Aucune",IF(F94="Mineur","Ajustement mineur","Correction urgente"))</f>
        <v>Aucune</v>
      </c>
    </row>
    <row r="95" customFormat="false" ht="15" hidden="false" customHeight="true" outlineLevel="0" collapsed="false">
      <c r="A95" s="5" t="s">
        <v>99</v>
      </c>
      <c r="B95" s="6" t="n">
        <v>0.918</v>
      </c>
      <c r="C95" s="7" t="n">
        <v>0.918</v>
      </c>
      <c r="D95" s="8" t="n">
        <f aca="false">C95-B95</f>
        <v>0</v>
      </c>
      <c r="E95" s="9" t="n">
        <f aca="false">IF(B95=0,0,(C95-B95)/B95)</f>
        <v>0</v>
      </c>
      <c r="F95" s="10" t="str">
        <f aca="false">IF(ABS(D95)&lt;0.0001,"OK",IF(ABS(E95)&lt;=0.02,"Mineur","Critique"))</f>
        <v>OK</v>
      </c>
      <c r="G95" s="5" t="str">
        <f aca="false">IF(F95="OK","Aucune",IF(F95="Mineur","Ajustement mineur","Correction urgente"))</f>
        <v>Aucune</v>
      </c>
    </row>
    <row r="96" customFormat="false" ht="15" hidden="false" customHeight="true" outlineLevel="0" collapsed="false">
      <c r="A96" s="5" t="s">
        <v>100</v>
      </c>
      <c r="B96" s="6" t="n">
        <v>0.9787</v>
      </c>
      <c r="C96" s="7" t="n">
        <v>0.9787</v>
      </c>
      <c r="D96" s="8" t="n">
        <f aca="false">C96-B96</f>
        <v>0</v>
      </c>
      <c r="E96" s="9" t="n">
        <f aca="false">IF(B96=0,0,(C96-B96)/B96)</f>
        <v>0</v>
      </c>
      <c r="F96" s="10" t="str">
        <f aca="false">IF(ABS(D96)&lt;0.0001,"OK",IF(ABS(E96)&lt;=0.02,"Mineur","Critique"))</f>
        <v>OK</v>
      </c>
      <c r="G96" s="5" t="str">
        <f aca="false">IF(F96="OK","Aucune",IF(F96="Mineur","Ajustement mineur","Correction urgente"))</f>
        <v>Aucune</v>
      </c>
    </row>
    <row r="97" customFormat="false" ht="15" hidden="false" customHeight="true" outlineLevel="0" collapsed="false">
      <c r="A97" s="5" t="s">
        <v>101</v>
      </c>
      <c r="B97" s="6" t="n">
        <v>1.0948</v>
      </c>
      <c r="C97" s="7" t="n">
        <v>1.0948</v>
      </c>
      <c r="D97" s="8" t="n">
        <f aca="false">C97-B97</f>
        <v>0</v>
      </c>
      <c r="E97" s="9" t="n">
        <f aca="false">IF(B97=0,0,(C97-B97)/B97)</f>
        <v>0</v>
      </c>
      <c r="F97" s="10" t="str">
        <f aca="false">IF(ABS(D97)&lt;0.0001,"OK",IF(ABS(E97)&lt;=0.02,"Mineur","Critique"))</f>
        <v>OK</v>
      </c>
      <c r="G97" s="5" t="str">
        <f aca="false">IF(F97="OK","Aucune",IF(F97="Mineur","Ajustement mineur","Correction urgente"))</f>
        <v>Aucune</v>
      </c>
    </row>
    <row r="98" customFormat="false" ht="15" hidden="false" customHeight="true" outlineLevel="0" collapsed="false">
      <c r="A98" s="5" t="s">
        <v>102</v>
      </c>
      <c r="B98" s="6" t="n">
        <v>1.0517</v>
      </c>
      <c r="C98" s="7" t="n">
        <v>1.0517</v>
      </c>
      <c r="D98" s="8" t="n">
        <f aca="false">C98-B98</f>
        <v>0</v>
      </c>
      <c r="E98" s="9" t="n">
        <f aca="false">IF(B98=0,0,(C98-B98)/B98)</f>
        <v>0</v>
      </c>
      <c r="F98" s="10" t="str">
        <f aca="false">IF(ABS(D98)&lt;0.0001,"OK",IF(ABS(E98)&lt;=0.02,"Mineur","Critique"))</f>
        <v>OK</v>
      </c>
      <c r="G98" s="5" t="str">
        <f aca="false">IF(F98="OK","Aucune",IF(F98="Mineur","Ajustement mineur","Correction urgente"))</f>
        <v>Aucune</v>
      </c>
    </row>
    <row r="99" customFormat="false" ht="15" hidden="false" customHeight="true" outlineLevel="0" collapsed="false">
      <c r="A99" s="5" t="s">
        <v>103</v>
      </c>
      <c r="B99" s="6" t="n">
        <v>0.9714</v>
      </c>
      <c r="C99" s="7" t="n">
        <v>1.0106</v>
      </c>
      <c r="D99" s="8" t="n">
        <f aca="false">C99-B99</f>
        <v>0.0391999999999999</v>
      </c>
      <c r="E99" s="9" t="n">
        <f aca="false">IF(B99=0,0,(C99-B99)/B99)</f>
        <v>0.04035412806259</v>
      </c>
      <c r="F99" s="10" t="str">
        <f aca="false">IF(ABS(D99)&lt;0.0001,"OK",IF(ABS(E99)&lt;=0.02,"Mineur","Critique"))</f>
        <v>Critique</v>
      </c>
      <c r="G99" s="5" t="str">
        <f aca="false">IF(F99="OK","Aucune",IF(F99="Mineur","Ajustement mineur","Correction urgente"))</f>
        <v>Correction urgente</v>
      </c>
    </row>
    <row r="100" customFormat="false" ht="15" hidden="false" customHeight="true" outlineLevel="0" collapsed="false">
      <c r="A100" s="5" t="s">
        <v>104</v>
      </c>
      <c r="B100" s="6" t="n">
        <v>0.904</v>
      </c>
      <c r="C100" s="7" t="n">
        <v>0.904</v>
      </c>
      <c r="D100" s="8" t="n">
        <f aca="false">C100-B100</f>
        <v>0</v>
      </c>
      <c r="E100" s="9" t="n">
        <f aca="false">IF(B100=0,0,(C100-B100)/B100)</f>
        <v>0</v>
      </c>
      <c r="F100" s="10" t="str">
        <f aca="false">IF(ABS(D100)&lt;0.0001,"OK",IF(ABS(E100)&lt;=0.02,"Mineur","Critique"))</f>
        <v>OK</v>
      </c>
      <c r="G100" s="5" t="str">
        <f aca="false">IF(F100="OK","Aucune",IF(F100="Mineur","Ajustement mineur","Correction urgente"))</f>
        <v>Aucune</v>
      </c>
    </row>
    <row r="101" customFormat="false" ht="15" hidden="false" customHeight="true" outlineLevel="0" collapsed="false">
      <c r="A101" s="5" t="s">
        <v>105</v>
      </c>
      <c r="B101" s="6" t="n">
        <v>1.1068</v>
      </c>
      <c r="C101" s="7" t="n">
        <v>1.1068</v>
      </c>
      <c r="D101" s="8" t="n">
        <f aca="false">C101-B101</f>
        <v>0</v>
      </c>
      <c r="E101" s="9" t="n">
        <f aca="false">IF(B101=0,0,(C101-B101)/B101)</f>
        <v>0</v>
      </c>
      <c r="F101" s="10" t="str">
        <f aca="false">IF(ABS(D101)&lt;0.0001,"OK",IF(ABS(E101)&lt;=0.02,"Mineur","Critique"))</f>
        <v>OK</v>
      </c>
      <c r="G101" s="5" t="str">
        <f aca="false">IF(F101="OK","Aucune",IF(F101="Mineur","Ajustement mineur","Correction urgente"))</f>
        <v>Aucune</v>
      </c>
    </row>
    <row r="102" customFormat="false" ht="15" hidden="false" customHeight="true" outlineLevel="0" collapsed="false">
      <c r="A102" s="5" t="s">
        <v>106</v>
      </c>
      <c r="B102" s="6" t="n">
        <v>1.1359</v>
      </c>
      <c r="C102" s="7" t="n">
        <v>1.2173</v>
      </c>
      <c r="D102" s="8" t="n">
        <f aca="false">C102-B102</f>
        <v>0.0814000000000001</v>
      </c>
      <c r="E102" s="9" t="n">
        <f aca="false">IF(B102=0,0,(C102-B102)/B102)</f>
        <v>0.0716612377850164</v>
      </c>
      <c r="F102" s="10" t="str">
        <f aca="false">IF(ABS(D102)&lt;0.0001,"OK",IF(ABS(E102)&lt;=0.02,"Mineur","Critique"))</f>
        <v>Critique</v>
      </c>
      <c r="G102" s="5" t="str">
        <f aca="false">IF(F102="OK","Aucune",IF(F102="Mineur","Ajustement mineur","Correction urgente"))</f>
        <v>Correction urgente</v>
      </c>
    </row>
    <row r="103" customFormat="false" ht="15" hidden="false" customHeight="true" outlineLevel="0" collapsed="false">
      <c r="A103" s="5" t="s">
        <v>107</v>
      </c>
      <c r="B103" s="6" t="n">
        <v>1</v>
      </c>
      <c r="C103" s="7" t="n">
        <v>1</v>
      </c>
      <c r="D103" s="8" t="n">
        <f aca="false">C103-B103</f>
        <v>0</v>
      </c>
      <c r="E103" s="9" t="n">
        <f aca="false">IF(B103=0,0,(C103-B103)/B103)</f>
        <v>0</v>
      </c>
      <c r="F103" s="10" t="str">
        <f aca="false">IF(ABS(D103)&lt;0.0001,"OK",IF(ABS(E103)&lt;=0.02,"Mineur","Critique"))</f>
        <v>OK</v>
      </c>
      <c r="G103" s="5" t="str">
        <f aca="false">IF(F103="OK","Aucune",IF(F103="Mineur","Ajustement mineur","Correction urgente"))</f>
        <v>Aucune</v>
      </c>
    </row>
    <row r="104" customFormat="false" ht="15" hidden="false" customHeight="true" outlineLevel="0" collapsed="false">
      <c r="A104" s="5" t="s">
        <v>108</v>
      </c>
      <c r="B104" s="6" t="n">
        <v>1</v>
      </c>
      <c r="C104" s="7" t="n">
        <v>0.9709</v>
      </c>
      <c r="D104" s="8" t="n">
        <f aca="false">C104-B104</f>
        <v>-0.0291</v>
      </c>
      <c r="E104" s="9" t="n">
        <f aca="false">IF(B104=0,0,(C104-B104)/B104)</f>
        <v>-0.0291</v>
      </c>
      <c r="F104" s="10" t="str">
        <f aca="false">IF(ABS(D104)&lt;0.0001,"OK",IF(ABS(E104)&lt;=0.02,"Mineur","Critique"))</f>
        <v>Critique</v>
      </c>
      <c r="G104" s="5" t="str">
        <f aca="false">IF(F104="OK","Aucune",IF(F104="Mineur","Ajustement mineur","Correction urgente"))</f>
        <v>Correction urgente</v>
      </c>
    </row>
    <row r="105" customFormat="false" ht="15" hidden="false" customHeight="true" outlineLevel="0" collapsed="false">
      <c r="A105" s="5" t="s">
        <v>109</v>
      </c>
      <c r="B105" s="6" t="n">
        <v>1</v>
      </c>
      <c r="C105" s="7" t="n">
        <v>1</v>
      </c>
      <c r="D105" s="8" t="n">
        <f aca="false">C105-B105</f>
        <v>0</v>
      </c>
      <c r="E105" s="9" t="n">
        <f aca="false">IF(B105=0,0,(C105-B105)/B105)</f>
        <v>0</v>
      </c>
      <c r="F105" s="10" t="str">
        <f aca="false">IF(ABS(D105)&lt;0.0001,"OK",IF(ABS(E105)&lt;=0.02,"Mineur","Critique"))</f>
        <v>OK</v>
      </c>
      <c r="G105" s="5" t="str">
        <f aca="false">IF(F105="OK","Aucune",IF(F105="Mineur","Ajustement mineur","Correction urgente"))</f>
        <v>Aucune</v>
      </c>
    </row>
    <row r="106" customFormat="false" ht="15" hidden="false" customHeight="true" outlineLevel="0" collapsed="false">
      <c r="A106" s="5" t="s">
        <v>110</v>
      </c>
      <c r="B106" s="6" t="n">
        <v>0.9432</v>
      </c>
      <c r="C106" s="7" t="n">
        <v>0.9432</v>
      </c>
      <c r="D106" s="8" t="n">
        <f aca="false">C106-B106</f>
        <v>0</v>
      </c>
      <c r="E106" s="9" t="n">
        <f aca="false">IF(B106=0,0,(C106-B106)/B106)</f>
        <v>0</v>
      </c>
      <c r="F106" s="10" t="str">
        <f aca="false">IF(ABS(D106)&lt;0.0001,"OK",IF(ABS(E106)&lt;=0.02,"Mineur","Critique"))</f>
        <v>OK</v>
      </c>
      <c r="G106" s="5" t="str">
        <f aca="false">IF(F106="OK","Aucune",IF(F106="Mineur","Ajustement mineur","Correction urgente"))</f>
        <v>Aucune</v>
      </c>
    </row>
    <row r="107" customFormat="false" ht="15" hidden="false" customHeight="true" outlineLevel="0" collapsed="false">
      <c r="A107" s="5" t="s">
        <v>111</v>
      </c>
      <c r="B107" s="6" t="n">
        <v>1</v>
      </c>
      <c r="C107" s="7" t="n">
        <v>1</v>
      </c>
      <c r="D107" s="8" t="n">
        <f aca="false">C107-B107</f>
        <v>0</v>
      </c>
      <c r="E107" s="9" t="n">
        <f aca="false">IF(B107=0,0,(C107-B107)/B107)</f>
        <v>0</v>
      </c>
      <c r="F107" s="10" t="str">
        <f aca="false">IF(ABS(D107)&lt;0.0001,"OK",IF(ABS(E107)&lt;=0.02,"Mineur","Critique"))</f>
        <v>OK</v>
      </c>
      <c r="G107" s="5" t="str">
        <f aca="false">IF(F107="OK","Aucune",IF(F107="Mineur","Ajustement mineur","Correction urgente"))</f>
        <v>Aucune</v>
      </c>
    </row>
    <row r="108" customFormat="false" ht="15" hidden="false" customHeight="true" outlineLevel="0" collapsed="false">
      <c r="A108" s="5" t="s">
        <v>112</v>
      </c>
      <c r="B108" s="6" t="n">
        <v>0.9434</v>
      </c>
      <c r="C108" s="7" t="n">
        <v>0.909</v>
      </c>
      <c r="D108" s="8" t="n">
        <f aca="false">C108-B108</f>
        <v>-0.0344</v>
      </c>
      <c r="E108" s="9" t="n">
        <f aca="false">IF(B108=0,0,(C108-B108)/B108)</f>
        <v>-0.0364638541445834</v>
      </c>
      <c r="F108" s="10" t="str">
        <f aca="false">IF(ABS(D108)&lt;0.0001,"OK",IF(ABS(E108)&lt;=0.02,"Mineur","Critique"))</f>
        <v>Critique</v>
      </c>
      <c r="G108" s="5" t="str">
        <f aca="false">IF(F108="OK","Aucune",IF(F108="Mineur","Ajustement mineur","Correction urgente"))</f>
        <v>Correction urgente</v>
      </c>
    </row>
    <row r="109" customFormat="false" ht="15" hidden="false" customHeight="true" outlineLevel="0" collapsed="false">
      <c r="A109" s="5" t="s">
        <v>113</v>
      </c>
      <c r="B109" s="6" t="n">
        <v>1</v>
      </c>
      <c r="C109" s="7" t="n">
        <v>1</v>
      </c>
      <c r="D109" s="8" t="n">
        <f aca="false">C109-B109</f>
        <v>0</v>
      </c>
      <c r="E109" s="9" t="n">
        <f aca="false">IF(B109=0,0,(C109-B109)/B109)</f>
        <v>0</v>
      </c>
      <c r="F109" s="10" t="str">
        <f aca="false">IF(ABS(D109)&lt;0.0001,"OK",IF(ABS(E109)&lt;=0.02,"Mineur","Critique"))</f>
        <v>OK</v>
      </c>
      <c r="G109" s="5" t="str">
        <f aca="false">IF(F109="OK","Aucune",IF(F109="Mineur","Ajustement mineur","Correction urgente"))</f>
        <v>Aucune</v>
      </c>
    </row>
    <row r="110" customFormat="false" ht="15" hidden="false" customHeight="true" outlineLevel="0" collapsed="false">
      <c r="A110" s="5" t="s">
        <v>114</v>
      </c>
      <c r="B110" s="6" t="n">
        <v>1</v>
      </c>
      <c r="C110" s="7" t="n">
        <v>1.0268</v>
      </c>
      <c r="D110" s="8" t="n">
        <f aca="false">C110-B110</f>
        <v>0.0267999999999999</v>
      </c>
      <c r="E110" s="9" t="n">
        <f aca="false">IF(B110=0,0,(C110-B110)/B110)</f>
        <v>0.0267999999999999</v>
      </c>
      <c r="F110" s="10" t="str">
        <f aca="false">IF(ABS(D110)&lt;0.0001,"OK",IF(ABS(E110)&lt;=0.02,"Mineur","Critique"))</f>
        <v>Critique</v>
      </c>
      <c r="G110" s="5" t="str">
        <f aca="false">IF(F110="OK","Aucune",IF(F110="Mineur","Ajustement mineur","Correction urgente"))</f>
        <v>Correction urgente</v>
      </c>
    </row>
    <row r="111" customFormat="false" ht="15" hidden="false" customHeight="true" outlineLevel="0" collapsed="false">
      <c r="A111" s="5" t="s">
        <v>115</v>
      </c>
      <c r="B111" s="6" t="n">
        <v>1</v>
      </c>
      <c r="C111" s="7" t="n">
        <v>1</v>
      </c>
      <c r="D111" s="8" t="n">
        <f aca="false">C111-B111</f>
        <v>0</v>
      </c>
      <c r="E111" s="9" t="n">
        <f aca="false">IF(B111=0,0,(C111-B111)/B111)</f>
        <v>0</v>
      </c>
      <c r="F111" s="10" t="str">
        <f aca="false">IF(ABS(D111)&lt;0.0001,"OK",IF(ABS(E111)&lt;=0.02,"Mineur","Critique"))</f>
        <v>OK</v>
      </c>
      <c r="G111" s="5" t="str">
        <f aca="false">IF(F111="OK","Aucune",IF(F111="Mineur","Ajustement mineur","Correction urgente"))</f>
        <v>Aucune</v>
      </c>
    </row>
    <row r="112" customFormat="false" ht="15" hidden="false" customHeight="true" outlineLevel="0" collapsed="false">
      <c r="A112" s="5" t="s">
        <v>116</v>
      </c>
      <c r="B112" s="6" t="n">
        <v>1</v>
      </c>
      <c r="C112" s="7" t="n">
        <v>1</v>
      </c>
      <c r="D112" s="8" t="n">
        <f aca="false">C112-B112</f>
        <v>0</v>
      </c>
      <c r="E112" s="9" t="n">
        <f aca="false">IF(B112=0,0,(C112-B112)/B112)</f>
        <v>0</v>
      </c>
      <c r="F112" s="10" t="str">
        <f aca="false">IF(ABS(D112)&lt;0.0001,"OK",IF(ABS(E112)&lt;=0.02,"Mineur","Critique"))</f>
        <v>OK</v>
      </c>
      <c r="G112" s="5" t="str">
        <f aca="false">IF(F112="OK","Aucune",IF(F112="Mineur","Ajustement mineur","Correction urgente"))</f>
        <v>Aucune</v>
      </c>
    </row>
    <row r="113" customFormat="false" ht="15" hidden="false" customHeight="true" outlineLevel="0" collapsed="false">
      <c r="A113" s="5" t="s">
        <v>117</v>
      </c>
      <c r="B113" s="6" t="n">
        <v>1.1395</v>
      </c>
      <c r="C113" s="7" t="n">
        <v>1.1395</v>
      </c>
      <c r="D113" s="8" t="n">
        <f aca="false">C113-B113</f>
        <v>0</v>
      </c>
      <c r="E113" s="9" t="n">
        <f aca="false">IF(B113=0,0,(C113-B113)/B113)</f>
        <v>0</v>
      </c>
      <c r="F113" s="10" t="str">
        <f aca="false">IF(ABS(D113)&lt;0.0001,"OK",IF(ABS(E113)&lt;=0.02,"Mineur","Critique"))</f>
        <v>OK</v>
      </c>
      <c r="G113" s="5" t="str">
        <f aca="false">IF(F113="OK","Aucune",IF(F113="Mineur","Ajustement mineur","Correction urgente"))</f>
        <v>Aucune</v>
      </c>
    </row>
    <row r="114" customFormat="false" ht="15" hidden="false" customHeight="true" outlineLevel="0" collapsed="false">
      <c r="A114" s="5" t="s">
        <v>118</v>
      </c>
      <c r="B114" s="6" t="n">
        <v>1.0969</v>
      </c>
      <c r="C114" s="7" t="n">
        <v>1.0969</v>
      </c>
      <c r="D114" s="8" t="n">
        <f aca="false">C114-B114</f>
        <v>0</v>
      </c>
      <c r="E114" s="9" t="n">
        <f aca="false">IF(B114=0,0,(C114-B114)/B114)</f>
        <v>0</v>
      </c>
      <c r="F114" s="10" t="str">
        <f aca="false">IF(ABS(D114)&lt;0.0001,"OK",IF(ABS(E114)&lt;=0.02,"Mineur","Critique"))</f>
        <v>OK</v>
      </c>
      <c r="G114" s="5" t="str">
        <f aca="false">IF(F114="OK","Aucune",IF(F114="Mineur","Ajustement mineur","Correction urgente"))</f>
        <v>Aucune</v>
      </c>
    </row>
    <row r="115" customFormat="false" ht="15" hidden="false" customHeight="true" outlineLevel="0" collapsed="false">
      <c r="A115" s="5" t="s">
        <v>119</v>
      </c>
      <c r="B115" s="6" t="n">
        <v>1</v>
      </c>
      <c r="C115" s="7" t="n">
        <v>1</v>
      </c>
      <c r="D115" s="8" t="n">
        <f aca="false">C115-B115</f>
        <v>0</v>
      </c>
      <c r="E115" s="9" t="n">
        <f aca="false">IF(B115=0,0,(C115-B115)/B115)</f>
        <v>0</v>
      </c>
      <c r="F115" s="10" t="str">
        <f aca="false">IF(ABS(D115)&lt;0.0001,"OK",IF(ABS(E115)&lt;=0.02,"Mineur","Critique"))</f>
        <v>OK</v>
      </c>
      <c r="G115" s="5" t="str">
        <f aca="false">IF(F115="OK","Aucune",IF(F115="Mineur","Ajustement mineur","Correction urgente"))</f>
        <v>Aucune</v>
      </c>
    </row>
    <row r="116" customFormat="false" ht="15" hidden="false" customHeight="true" outlineLevel="0" collapsed="false">
      <c r="A116" s="5" t="s">
        <v>120</v>
      </c>
      <c r="B116" s="6" t="n">
        <v>1</v>
      </c>
      <c r="C116" s="7" t="n">
        <v>1</v>
      </c>
      <c r="D116" s="8" t="n">
        <f aca="false">C116-B116</f>
        <v>0</v>
      </c>
      <c r="E116" s="9" t="n">
        <f aca="false">IF(B116=0,0,(C116-B116)/B116)</f>
        <v>0</v>
      </c>
      <c r="F116" s="10" t="str">
        <f aca="false">IF(ABS(D116)&lt;0.0001,"OK",IF(ABS(E116)&lt;=0.02,"Mineur","Critique"))</f>
        <v>OK</v>
      </c>
      <c r="G116" s="5" t="str">
        <f aca="false">IF(F116="OK","Aucune",IF(F116="Mineur","Ajustement mineur","Correction urgente"))</f>
        <v>Aucune</v>
      </c>
    </row>
    <row r="117" customFormat="false" ht="15" hidden="false" customHeight="true" outlineLevel="0" collapsed="false">
      <c r="A117" s="5" t="s">
        <v>121</v>
      </c>
      <c r="B117" s="6" t="n">
        <v>1</v>
      </c>
      <c r="C117" s="7" t="n">
        <v>1</v>
      </c>
      <c r="D117" s="8" t="n">
        <f aca="false">C117-B117</f>
        <v>0</v>
      </c>
      <c r="E117" s="9" t="n">
        <f aca="false">IF(B117=0,0,(C117-B117)/B117)</f>
        <v>0</v>
      </c>
      <c r="F117" s="10" t="str">
        <f aca="false">IF(ABS(D117)&lt;0.0001,"OK",IF(ABS(E117)&lt;=0.02,"Mineur","Critique"))</f>
        <v>OK</v>
      </c>
      <c r="G117" s="5" t="str">
        <f aca="false">IF(F117="OK","Aucune",IF(F117="Mineur","Ajustement mineur","Correction urgente"))</f>
        <v>Aucune</v>
      </c>
    </row>
    <row r="118" customFormat="false" ht="15" hidden="false" customHeight="true" outlineLevel="0" collapsed="false">
      <c r="A118" s="5" t="s">
        <v>122</v>
      </c>
      <c r="B118" s="6" t="n">
        <v>1.0225</v>
      </c>
      <c r="C118" s="7" t="n">
        <v>1.0225</v>
      </c>
      <c r="D118" s="8" t="n">
        <f aca="false">C118-B118</f>
        <v>0</v>
      </c>
      <c r="E118" s="9" t="n">
        <f aca="false">IF(B118=0,0,(C118-B118)/B118)</f>
        <v>0</v>
      </c>
      <c r="F118" s="10" t="str">
        <f aca="false">IF(ABS(D118)&lt;0.0001,"OK",IF(ABS(E118)&lt;=0.02,"Mineur","Critique"))</f>
        <v>OK</v>
      </c>
      <c r="G118" s="5" t="str">
        <f aca="false">IF(F118="OK","Aucune",IF(F118="Mineur","Ajustement mineur","Correction urgente"))</f>
        <v>Aucune</v>
      </c>
    </row>
    <row r="119" customFormat="false" ht="15" hidden="false" customHeight="true" outlineLevel="0" collapsed="false">
      <c r="A119" s="5" t="s">
        <v>123</v>
      </c>
      <c r="B119" s="6" t="n">
        <v>0.9762</v>
      </c>
      <c r="C119" s="7" t="n">
        <v>1.0164</v>
      </c>
      <c r="D119" s="8" t="n">
        <f aca="false">C119-B119</f>
        <v>0.0402</v>
      </c>
      <c r="E119" s="9" t="n">
        <f aca="false">IF(B119=0,0,(C119-B119)/B119)</f>
        <v>0.041180086047941</v>
      </c>
      <c r="F119" s="10" t="str">
        <f aca="false">IF(ABS(D119)&lt;0.0001,"OK",IF(ABS(E119)&lt;=0.02,"Mineur","Critique"))</f>
        <v>Critique</v>
      </c>
      <c r="G119" s="5" t="str">
        <f aca="false">IF(F119="OK","Aucune",IF(F119="Mineur","Ajustement mineur","Correction urgente"))</f>
        <v>Correction urgente</v>
      </c>
    </row>
    <row r="120" customFormat="false" ht="15" hidden="false" customHeight="true" outlineLevel="0" collapsed="false">
      <c r="A120" s="5" t="s">
        <v>124</v>
      </c>
      <c r="B120" s="6" t="n">
        <v>0.9671</v>
      </c>
      <c r="C120" s="7" t="n">
        <v>0.9671</v>
      </c>
      <c r="D120" s="8" t="n">
        <f aca="false">C120-B120</f>
        <v>0</v>
      </c>
      <c r="E120" s="9" t="n">
        <f aca="false">IF(B120=0,0,(C120-B120)/B120)</f>
        <v>0</v>
      </c>
      <c r="F120" s="10" t="str">
        <f aca="false">IF(ABS(D120)&lt;0.0001,"OK",IF(ABS(E120)&lt;=0.02,"Mineur","Critique"))</f>
        <v>OK</v>
      </c>
      <c r="G120" s="5" t="str">
        <f aca="false">IF(F120="OK","Aucune",IF(F120="Mineur","Ajustement mineur","Correction urgente"))</f>
        <v>Aucune</v>
      </c>
    </row>
    <row r="121" customFormat="false" ht="15" hidden="false" customHeight="true" outlineLevel="0" collapsed="false">
      <c r="A121" s="5" t="s">
        <v>125</v>
      </c>
      <c r="B121" s="6" t="n">
        <v>0.9536</v>
      </c>
      <c r="C121" s="7" t="n">
        <v>0.9536</v>
      </c>
      <c r="D121" s="8" t="n">
        <f aca="false">C121-B121</f>
        <v>0</v>
      </c>
      <c r="E121" s="9" t="n">
        <f aca="false">IF(B121=0,0,(C121-B121)/B121)</f>
        <v>0</v>
      </c>
      <c r="F121" s="10" t="str">
        <f aca="false">IF(ABS(D121)&lt;0.0001,"OK",IF(ABS(E121)&lt;=0.02,"Mineur","Critique"))</f>
        <v>OK</v>
      </c>
      <c r="G121" s="5" t="str">
        <f aca="false">IF(F121="OK","Aucune",IF(F121="Mineur","Ajustement mineur","Correction urgente"))</f>
        <v>Aucune</v>
      </c>
    </row>
    <row r="122" customFormat="false" ht="15" hidden="false" customHeight="true" outlineLevel="0" collapsed="false">
      <c r="A122" s="5" t="s">
        <v>126</v>
      </c>
      <c r="B122" s="6" t="n">
        <v>1.068</v>
      </c>
      <c r="C122" s="7" t="n">
        <v>1.068</v>
      </c>
      <c r="D122" s="8" t="n">
        <f aca="false">C122-B122</f>
        <v>0</v>
      </c>
      <c r="E122" s="9" t="n">
        <f aca="false">IF(B122=0,0,(C122-B122)/B122)</f>
        <v>0</v>
      </c>
      <c r="F122" s="10" t="str">
        <f aca="false">IF(ABS(D122)&lt;0.0001,"OK",IF(ABS(E122)&lt;=0.02,"Mineur","Critique"))</f>
        <v>OK</v>
      </c>
      <c r="G122" s="5" t="str">
        <f aca="false">IF(F122="OK","Aucune",IF(F122="Mineur","Ajustement mineur","Correction urgente"))</f>
        <v>Aucune</v>
      </c>
    </row>
    <row r="123" customFormat="false" ht="15" hidden="false" customHeight="true" outlineLevel="0" collapsed="false">
      <c r="A123" s="5" t="s">
        <v>127</v>
      </c>
      <c r="B123" s="6" t="n">
        <v>0.9598</v>
      </c>
      <c r="C123" s="7" t="n">
        <v>0.9222</v>
      </c>
      <c r="D123" s="8" t="n">
        <f aca="false">C123-B123</f>
        <v>-0.0376</v>
      </c>
      <c r="E123" s="9" t="n">
        <f aca="false">IF(B123=0,0,(C123-B123)/B123)</f>
        <v>-0.0391748280891852</v>
      </c>
      <c r="F123" s="10" t="str">
        <f aca="false">IF(ABS(D123)&lt;0.0001,"OK",IF(ABS(E123)&lt;=0.02,"Mineur","Critique"))</f>
        <v>Critique</v>
      </c>
      <c r="G123" s="5" t="str">
        <f aca="false">IF(F123="OK","Aucune",IF(F123="Mineur","Ajustement mineur","Correction urgente"))</f>
        <v>Correction urgente</v>
      </c>
    </row>
    <row r="124" customFormat="false" ht="15" hidden="false" customHeight="true" outlineLevel="0" collapsed="false">
      <c r="A124" s="5" t="s">
        <v>128</v>
      </c>
      <c r="B124" s="6" t="n">
        <v>0.9317</v>
      </c>
      <c r="C124" s="7" t="n">
        <v>0.9317</v>
      </c>
      <c r="D124" s="8" t="n">
        <f aca="false">C124-B124</f>
        <v>0</v>
      </c>
      <c r="E124" s="9" t="n">
        <f aca="false">IF(B124=0,0,(C124-B124)/B124)</f>
        <v>0</v>
      </c>
      <c r="F124" s="10" t="str">
        <f aca="false">IF(ABS(D124)&lt;0.0001,"OK",IF(ABS(E124)&lt;=0.02,"Mineur","Critique"))</f>
        <v>OK</v>
      </c>
      <c r="G124" s="5" t="str">
        <f aca="false">IF(F124="OK","Aucune",IF(F124="Mineur","Ajustement mineur","Correction urgente"))</f>
        <v>Aucune</v>
      </c>
    </row>
    <row r="125" customFormat="false" ht="15" hidden="false" customHeight="true" outlineLevel="0" collapsed="false">
      <c r="A125" s="5" t="s">
        <v>129</v>
      </c>
      <c r="B125" s="6" t="n">
        <v>1.0516</v>
      </c>
      <c r="C125" s="7" t="n">
        <v>1.0356</v>
      </c>
      <c r="D125" s="8" t="n">
        <f aca="false">C125-B125</f>
        <v>-0.016</v>
      </c>
      <c r="E125" s="9" t="n">
        <f aca="false">IF(B125=0,0,(C125-B125)/B125)</f>
        <v>-0.0152149106124002</v>
      </c>
      <c r="F125" s="10" t="str">
        <f aca="false">IF(ABS(D125)&lt;0.0001,"OK",IF(ABS(E125)&lt;=0.02,"Mineur","Critique"))</f>
        <v>Mineur</v>
      </c>
      <c r="G125" s="5" t="str">
        <f aca="false">IF(F125="OK","Aucune",IF(F125="Mineur","Ajustement mineur","Correction urgente"))</f>
        <v>Ajustement mineur</v>
      </c>
    </row>
    <row r="126" customFormat="false" ht="15" hidden="false" customHeight="true" outlineLevel="0" collapsed="false">
      <c r="A126" s="5" t="s">
        <v>130</v>
      </c>
      <c r="B126" s="6" t="n">
        <v>1</v>
      </c>
      <c r="C126" s="7" t="n">
        <v>1</v>
      </c>
      <c r="D126" s="8" t="n">
        <f aca="false">C126-B126</f>
        <v>0</v>
      </c>
      <c r="E126" s="9" t="n">
        <f aca="false">IF(B126=0,0,(C126-B126)/B126)</f>
        <v>0</v>
      </c>
      <c r="F126" s="10" t="str">
        <f aca="false">IF(ABS(D126)&lt;0.0001,"OK",IF(ABS(E126)&lt;=0.02,"Mineur","Critique"))</f>
        <v>OK</v>
      </c>
      <c r="G126" s="5" t="str">
        <f aca="false">IF(F126="OK","Aucune",IF(F126="Mineur","Ajustement mineur","Correction urgente"))</f>
        <v>Aucune</v>
      </c>
    </row>
    <row r="127" customFormat="false" ht="15" hidden="false" customHeight="true" outlineLevel="0" collapsed="false">
      <c r="A127" s="5" t="s">
        <v>131</v>
      </c>
      <c r="B127" s="6" t="n">
        <v>1</v>
      </c>
      <c r="C127" s="7" t="n">
        <v>1.0271</v>
      </c>
      <c r="D127" s="8" t="n">
        <f aca="false">C127-B127</f>
        <v>0.0270999999999999</v>
      </c>
      <c r="E127" s="9" t="n">
        <f aca="false">IF(B127=0,0,(C127-B127)/B127)</f>
        <v>0.0270999999999999</v>
      </c>
      <c r="F127" s="10" t="str">
        <f aca="false">IF(ABS(D127)&lt;0.0001,"OK",IF(ABS(E127)&lt;=0.02,"Mineur","Critique"))</f>
        <v>Critique</v>
      </c>
      <c r="G127" s="5" t="str">
        <f aca="false">IF(F127="OK","Aucune",IF(F127="Mineur","Ajustement mineur","Correction urgente"))</f>
        <v>Correction urgente</v>
      </c>
    </row>
    <row r="128" customFormat="false" ht="15" hidden="false" customHeight="true" outlineLevel="0" collapsed="false">
      <c r="A128" s="5" t="s">
        <v>132</v>
      </c>
      <c r="B128" s="6" t="n">
        <v>1.0766</v>
      </c>
      <c r="C128" s="7" t="n">
        <v>1.0766</v>
      </c>
      <c r="D128" s="8" t="n">
        <f aca="false">C128-B128</f>
        <v>0</v>
      </c>
      <c r="E128" s="9" t="n">
        <f aca="false">IF(B128=0,0,(C128-B128)/B128)</f>
        <v>0</v>
      </c>
      <c r="F128" s="10" t="str">
        <f aca="false">IF(ABS(D128)&lt;0.0001,"OK",IF(ABS(E128)&lt;=0.02,"Mineur","Critique"))</f>
        <v>OK</v>
      </c>
      <c r="G128" s="5" t="str">
        <f aca="false">IF(F128="OK","Aucune",IF(F128="Mineur","Ajustement mineur","Correction urgente"))</f>
        <v>Aucune</v>
      </c>
    </row>
    <row r="129" customFormat="false" ht="15" hidden="false" customHeight="true" outlineLevel="0" collapsed="false">
      <c r="A129" s="5" t="s">
        <v>133</v>
      </c>
      <c r="B129" s="6" t="n">
        <v>1.1001</v>
      </c>
      <c r="C129" s="7" t="n">
        <v>1.1001</v>
      </c>
      <c r="D129" s="8" t="n">
        <f aca="false">C129-B129</f>
        <v>0</v>
      </c>
      <c r="E129" s="9" t="n">
        <f aca="false">IF(B129=0,0,(C129-B129)/B129)</f>
        <v>0</v>
      </c>
      <c r="F129" s="10" t="str">
        <f aca="false">IF(ABS(D129)&lt;0.0001,"OK",IF(ABS(E129)&lt;=0.02,"Mineur","Critique"))</f>
        <v>OK</v>
      </c>
      <c r="G129" s="5" t="str">
        <f aca="false">IF(F129="OK","Aucune",IF(F129="Mineur","Ajustement mineur","Correction urgente"))</f>
        <v>Aucune</v>
      </c>
    </row>
    <row r="130" customFormat="false" ht="15" hidden="false" customHeight="true" outlineLevel="0" collapsed="false">
      <c r="A130" s="5" t="s">
        <v>134</v>
      </c>
      <c r="B130" s="6" t="n">
        <v>0.9681</v>
      </c>
      <c r="C130" s="7" t="n">
        <v>0.9681</v>
      </c>
      <c r="D130" s="8" t="n">
        <f aca="false">C130-B130</f>
        <v>0</v>
      </c>
      <c r="E130" s="9" t="n">
        <f aca="false">IF(B130=0,0,(C130-B130)/B130)</f>
        <v>0</v>
      </c>
      <c r="F130" s="10" t="str">
        <f aca="false">IF(ABS(D130)&lt;0.0001,"OK",IF(ABS(E130)&lt;=0.02,"Mineur","Critique"))</f>
        <v>OK</v>
      </c>
      <c r="G130" s="5" t="str">
        <f aca="false">IF(F130="OK","Aucune",IF(F130="Mineur","Ajustement mineur","Correction urgente"))</f>
        <v>Aucune</v>
      </c>
    </row>
    <row r="131" customFormat="false" ht="15" hidden="false" customHeight="true" outlineLevel="0" collapsed="false">
      <c r="A131" s="5" t="s">
        <v>135</v>
      </c>
      <c r="B131" s="6" t="n">
        <v>1.1176</v>
      </c>
      <c r="C131" s="7" t="n">
        <v>1.1176</v>
      </c>
      <c r="D131" s="8" t="n">
        <f aca="false">C131-B131</f>
        <v>0</v>
      </c>
      <c r="E131" s="9" t="n">
        <f aca="false">IF(B131=0,0,(C131-B131)/B131)</f>
        <v>0</v>
      </c>
      <c r="F131" s="10" t="str">
        <f aca="false">IF(ABS(D131)&lt;0.0001,"OK",IF(ABS(E131)&lt;=0.02,"Mineur","Critique"))</f>
        <v>OK</v>
      </c>
      <c r="G131" s="5" t="str">
        <f aca="false">IF(F131="OK","Aucune",IF(F131="Mineur","Ajustement mineur","Correction urgente"))</f>
        <v>Aucune</v>
      </c>
    </row>
    <row r="132" customFormat="false" ht="15" hidden="false" customHeight="true" outlineLevel="0" collapsed="false">
      <c r="A132" s="5" t="s">
        <v>136</v>
      </c>
      <c r="B132" s="6" t="n">
        <v>1</v>
      </c>
      <c r="C132" s="7" t="n">
        <v>1</v>
      </c>
      <c r="D132" s="8" t="n">
        <f aca="false">C132-B132</f>
        <v>0</v>
      </c>
      <c r="E132" s="9" t="n">
        <f aca="false">IF(B132=0,0,(C132-B132)/B132)</f>
        <v>0</v>
      </c>
      <c r="F132" s="10" t="str">
        <f aca="false">IF(ABS(D132)&lt;0.0001,"OK",IF(ABS(E132)&lt;=0.02,"Mineur","Critique"))</f>
        <v>OK</v>
      </c>
      <c r="G132" s="5" t="str">
        <f aca="false">IF(F132="OK","Aucune",IF(F132="Mineur","Ajustement mineur","Correction urgente"))</f>
        <v>Aucune</v>
      </c>
    </row>
    <row r="133" customFormat="false" ht="15" hidden="false" customHeight="true" outlineLevel="0" collapsed="false">
      <c r="A133" s="5" t="s">
        <v>137</v>
      </c>
      <c r="B133" s="6" t="n">
        <v>1</v>
      </c>
      <c r="C133" s="7" t="n">
        <v>1</v>
      </c>
      <c r="D133" s="8" t="n">
        <f aca="false">C133-B133</f>
        <v>0</v>
      </c>
      <c r="E133" s="9" t="n">
        <f aca="false">IF(B133=0,0,(C133-B133)/B133)</f>
        <v>0</v>
      </c>
      <c r="F133" s="10" t="str">
        <f aca="false">IF(ABS(D133)&lt;0.0001,"OK",IF(ABS(E133)&lt;=0.02,"Mineur","Critique"))</f>
        <v>OK</v>
      </c>
      <c r="G133" s="5" t="str">
        <f aca="false">IF(F133="OK","Aucune",IF(F133="Mineur","Ajustement mineur","Correction urgente"))</f>
        <v>Aucune</v>
      </c>
    </row>
    <row r="134" customFormat="false" ht="15" hidden="false" customHeight="true" outlineLevel="0" collapsed="false">
      <c r="A134" s="5" t="s">
        <v>138</v>
      </c>
      <c r="B134" s="6" t="n">
        <v>1.1344</v>
      </c>
      <c r="C134" s="7" t="n">
        <v>1.1344</v>
      </c>
      <c r="D134" s="8" t="n">
        <f aca="false">C134-B134</f>
        <v>0</v>
      </c>
      <c r="E134" s="9" t="n">
        <f aca="false">IF(B134=0,0,(C134-B134)/B134)</f>
        <v>0</v>
      </c>
      <c r="F134" s="10" t="str">
        <f aca="false">IF(ABS(D134)&lt;0.0001,"OK",IF(ABS(E134)&lt;=0.02,"Mineur","Critique"))</f>
        <v>OK</v>
      </c>
      <c r="G134" s="5" t="str">
        <f aca="false">IF(F134="OK","Aucune",IF(F134="Mineur","Ajustement mineur","Correction urgente"))</f>
        <v>Aucune</v>
      </c>
    </row>
    <row r="135" customFormat="false" ht="15" hidden="false" customHeight="true" outlineLevel="0" collapsed="false">
      <c r="A135" s="5" t="s">
        <v>139</v>
      </c>
      <c r="B135" s="6" t="n">
        <v>1.0311</v>
      </c>
      <c r="C135" s="7" t="n">
        <v>1.0311</v>
      </c>
      <c r="D135" s="8" t="n">
        <f aca="false">C135-B135</f>
        <v>0</v>
      </c>
      <c r="E135" s="9" t="n">
        <f aca="false">IF(B135=0,0,(C135-B135)/B135)</f>
        <v>0</v>
      </c>
      <c r="F135" s="10" t="str">
        <f aca="false">IF(ABS(D135)&lt;0.0001,"OK",IF(ABS(E135)&lt;=0.02,"Mineur","Critique"))</f>
        <v>OK</v>
      </c>
      <c r="G135" s="5" t="str">
        <f aca="false">IF(F135="OK","Aucune",IF(F135="Mineur","Ajustement mineur","Correction urgente"))</f>
        <v>Aucune</v>
      </c>
    </row>
    <row r="136" customFormat="false" ht="15" hidden="false" customHeight="true" outlineLevel="0" collapsed="false">
      <c r="A136" s="5" t="s">
        <v>140</v>
      </c>
      <c r="B136" s="6" t="n">
        <v>1</v>
      </c>
      <c r="C136" s="7" t="n">
        <v>1</v>
      </c>
      <c r="D136" s="8" t="n">
        <f aca="false">C136-B136</f>
        <v>0</v>
      </c>
      <c r="E136" s="9" t="n">
        <f aca="false">IF(B136=0,0,(C136-B136)/B136)</f>
        <v>0</v>
      </c>
      <c r="F136" s="10" t="str">
        <f aca="false">IF(ABS(D136)&lt;0.0001,"OK",IF(ABS(E136)&lt;=0.02,"Mineur","Critique"))</f>
        <v>OK</v>
      </c>
      <c r="G136" s="5" t="str">
        <f aca="false">IF(F136="OK","Aucune",IF(F136="Mineur","Ajustement mineur","Correction urgente"))</f>
        <v>Aucune</v>
      </c>
    </row>
    <row r="137" customFormat="false" ht="15" hidden="false" customHeight="true" outlineLevel="0" collapsed="false">
      <c r="A137" s="5" t="s">
        <v>141</v>
      </c>
      <c r="B137" s="6" t="n">
        <v>0.9393</v>
      </c>
      <c r="C137" s="7" t="n">
        <v>0.9393</v>
      </c>
      <c r="D137" s="8" t="n">
        <f aca="false">C137-B137</f>
        <v>0</v>
      </c>
      <c r="E137" s="9" t="n">
        <f aca="false">IF(B137=0,0,(C137-B137)/B137)</f>
        <v>0</v>
      </c>
      <c r="F137" s="10" t="str">
        <f aca="false">IF(ABS(D137)&lt;0.0001,"OK",IF(ABS(E137)&lt;=0.02,"Mineur","Critique"))</f>
        <v>OK</v>
      </c>
      <c r="G137" s="5" t="str">
        <f aca="false">IF(F137="OK","Aucune",IF(F137="Mineur","Ajustement mineur","Correction urgente"))</f>
        <v>Aucune</v>
      </c>
    </row>
    <row r="138" customFormat="false" ht="15" hidden="false" customHeight="true" outlineLevel="0" collapsed="false">
      <c r="A138" s="5" t="s">
        <v>142</v>
      </c>
      <c r="B138" s="6" t="n">
        <v>1.0516</v>
      </c>
      <c r="C138" s="7" t="n">
        <v>1.0516</v>
      </c>
      <c r="D138" s="8" t="n">
        <f aca="false">C138-B138</f>
        <v>0</v>
      </c>
      <c r="E138" s="9" t="n">
        <f aca="false">IF(B138=0,0,(C138-B138)/B138)</f>
        <v>0</v>
      </c>
      <c r="F138" s="10" t="str">
        <f aca="false">IF(ABS(D138)&lt;0.0001,"OK",IF(ABS(E138)&lt;=0.02,"Mineur","Critique"))</f>
        <v>OK</v>
      </c>
      <c r="G138" s="5" t="str">
        <f aca="false">IF(F138="OK","Aucune",IF(F138="Mineur","Ajustement mineur","Correction urgente"))</f>
        <v>Aucune</v>
      </c>
    </row>
    <row r="139" customFormat="false" ht="15" hidden="false" customHeight="true" outlineLevel="0" collapsed="false">
      <c r="A139" s="5" t="s">
        <v>143</v>
      </c>
      <c r="B139" s="6" t="n">
        <v>1</v>
      </c>
      <c r="C139" s="7" t="n">
        <v>1</v>
      </c>
      <c r="D139" s="8" t="n">
        <f aca="false">C139-B139</f>
        <v>0</v>
      </c>
      <c r="E139" s="9" t="n">
        <f aca="false">IF(B139=0,0,(C139-B139)/B139)</f>
        <v>0</v>
      </c>
      <c r="F139" s="10" t="str">
        <f aca="false">IF(ABS(D139)&lt;0.0001,"OK",IF(ABS(E139)&lt;=0.02,"Mineur","Critique"))</f>
        <v>OK</v>
      </c>
      <c r="G139" s="5" t="str">
        <f aca="false">IF(F139="OK","Aucune",IF(F139="Mineur","Ajustement mineur","Correction urgente"))</f>
        <v>Aucune</v>
      </c>
    </row>
    <row r="140" customFormat="false" ht="15" hidden="false" customHeight="true" outlineLevel="0" collapsed="false">
      <c r="A140" s="5" t="s">
        <v>144</v>
      </c>
      <c r="B140" s="6" t="n">
        <v>0.9201</v>
      </c>
      <c r="C140" s="7" t="n">
        <v>0.9201</v>
      </c>
      <c r="D140" s="8" t="n">
        <f aca="false">C140-B140</f>
        <v>0</v>
      </c>
      <c r="E140" s="9" t="n">
        <f aca="false">IF(B140=0,0,(C140-B140)/B140)</f>
        <v>0</v>
      </c>
      <c r="F140" s="10" t="str">
        <f aca="false">IF(ABS(D140)&lt;0.0001,"OK",IF(ABS(E140)&lt;=0.02,"Mineur","Critique"))</f>
        <v>OK</v>
      </c>
      <c r="G140" s="5" t="str">
        <f aca="false">IF(F140="OK","Aucune",IF(F140="Mineur","Ajustement mineur","Correction urgente"))</f>
        <v>Aucune</v>
      </c>
    </row>
    <row r="141" customFormat="false" ht="15" hidden="false" customHeight="true" outlineLevel="0" collapsed="false">
      <c r="A141" s="5" t="s">
        <v>145</v>
      </c>
      <c r="B141" s="6" t="n">
        <v>1.1436</v>
      </c>
      <c r="C141" s="7" t="n">
        <v>1.1436</v>
      </c>
      <c r="D141" s="8" t="n">
        <f aca="false">C141-B141</f>
        <v>0</v>
      </c>
      <c r="E141" s="9" t="n">
        <f aca="false">IF(B141=0,0,(C141-B141)/B141)</f>
        <v>0</v>
      </c>
      <c r="F141" s="10" t="str">
        <f aca="false">IF(ABS(D141)&lt;0.0001,"OK",IF(ABS(E141)&lt;=0.02,"Mineur","Critique"))</f>
        <v>OK</v>
      </c>
      <c r="G141" s="5" t="str">
        <f aca="false">IF(F141="OK","Aucune",IF(F141="Mineur","Ajustement mineur","Correction urgente"))</f>
        <v>Aucune</v>
      </c>
    </row>
    <row r="142" customFormat="false" ht="15" hidden="false" customHeight="true" outlineLevel="0" collapsed="false">
      <c r="A142" s="5" t="s">
        <v>146</v>
      </c>
      <c r="B142" s="6" t="n">
        <v>1.0829</v>
      </c>
      <c r="C142" s="7" t="n">
        <v>1.0829</v>
      </c>
      <c r="D142" s="8" t="n">
        <f aca="false">C142-B142</f>
        <v>0</v>
      </c>
      <c r="E142" s="9" t="n">
        <f aca="false">IF(B142=0,0,(C142-B142)/B142)</f>
        <v>0</v>
      </c>
      <c r="F142" s="10" t="str">
        <f aca="false">IF(ABS(D142)&lt;0.0001,"OK",IF(ABS(E142)&lt;=0.02,"Mineur","Critique"))</f>
        <v>OK</v>
      </c>
      <c r="G142" s="5" t="str">
        <f aca="false">IF(F142="OK","Aucune",IF(F142="Mineur","Ajustement mineur","Correction urgente"))</f>
        <v>Aucune</v>
      </c>
    </row>
    <row r="143" customFormat="false" ht="15" hidden="false" customHeight="true" outlineLevel="0" collapsed="false">
      <c r="A143" s="5" t="s">
        <v>147</v>
      </c>
      <c r="B143" s="6" t="n">
        <v>0.9608</v>
      </c>
      <c r="C143" s="7" t="n">
        <v>0.9852</v>
      </c>
      <c r="D143" s="8" t="n">
        <f aca="false">C143-B143</f>
        <v>0.0244</v>
      </c>
      <c r="E143" s="9" t="n">
        <f aca="false">IF(B143=0,0,(C143-B143)/B143)</f>
        <v>0.0253955037468776</v>
      </c>
      <c r="F143" s="10" t="str">
        <f aca="false">IF(ABS(D143)&lt;0.0001,"OK",IF(ABS(E143)&lt;=0.02,"Mineur","Critique"))</f>
        <v>Critique</v>
      </c>
      <c r="G143" s="5" t="str">
        <f aca="false">IF(F143="OK","Aucune",IF(F143="Mineur","Ajustement mineur","Correction urgente"))</f>
        <v>Correction urgente</v>
      </c>
    </row>
    <row r="144" customFormat="false" ht="15" hidden="false" customHeight="true" outlineLevel="0" collapsed="false">
      <c r="A144" s="5" t="s">
        <v>148</v>
      </c>
      <c r="B144" s="6" t="n">
        <v>1.1467</v>
      </c>
      <c r="C144" s="7" t="n">
        <v>1.1467</v>
      </c>
      <c r="D144" s="8" t="n">
        <f aca="false">C144-B144</f>
        <v>0</v>
      </c>
      <c r="E144" s="9" t="n">
        <f aca="false">IF(B144=0,0,(C144-B144)/B144)</f>
        <v>0</v>
      </c>
      <c r="F144" s="10" t="str">
        <f aca="false">IF(ABS(D144)&lt;0.0001,"OK",IF(ABS(E144)&lt;=0.02,"Mineur","Critique"))</f>
        <v>OK</v>
      </c>
      <c r="G144" s="5" t="str">
        <f aca="false">IF(F144="OK","Aucune",IF(F144="Mineur","Ajustement mineur","Correction urgente"))</f>
        <v>Aucune</v>
      </c>
    </row>
    <row r="145" customFormat="false" ht="15" hidden="false" customHeight="true" outlineLevel="0" collapsed="false">
      <c r="A145" s="5" t="s">
        <v>149</v>
      </c>
      <c r="B145" s="6" t="n">
        <v>1</v>
      </c>
      <c r="C145" s="7" t="n">
        <v>1</v>
      </c>
      <c r="D145" s="8" t="n">
        <f aca="false">C145-B145</f>
        <v>0</v>
      </c>
      <c r="E145" s="9" t="n">
        <f aca="false">IF(B145=0,0,(C145-B145)/B145)</f>
        <v>0</v>
      </c>
      <c r="F145" s="10" t="str">
        <f aca="false">IF(ABS(D145)&lt;0.0001,"OK",IF(ABS(E145)&lt;=0.02,"Mineur","Critique"))</f>
        <v>OK</v>
      </c>
      <c r="G145" s="5" t="str">
        <f aca="false">IF(F145="OK","Aucune",IF(F145="Mineur","Ajustement mineur","Correction urgente"))</f>
        <v>Aucune</v>
      </c>
    </row>
    <row r="146" customFormat="false" ht="15" hidden="false" customHeight="true" outlineLevel="0" collapsed="false">
      <c r="A146" s="5" t="s">
        <v>150</v>
      </c>
      <c r="B146" s="6" t="n">
        <v>1</v>
      </c>
      <c r="C146" s="7" t="n">
        <v>1</v>
      </c>
      <c r="D146" s="8" t="n">
        <f aca="false">C146-B146</f>
        <v>0</v>
      </c>
      <c r="E146" s="9" t="n">
        <f aca="false">IF(B146=0,0,(C146-B146)/B146)</f>
        <v>0</v>
      </c>
      <c r="F146" s="10" t="str">
        <f aca="false">IF(ABS(D146)&lt;0.0001,"OK",IF(ABS(E146)&lt;=0.02,"Mineur","Critique"))</f>
        <v>OK</v>
      </c>
      <c r="G146" s="5" t="str">
        <f aca="false">IF(F146="OK","Aucune",IF(F146="Mineur","Ajustement mineur","Correction urgente"))</f>
        <v>Aucune</v>
      </c>
    </row>
    <row r="147" customFormat="false" ht="15" hidden="false" customHeight="true" outlineLevel="0" collapsed="false">
      <c r="A147" s="5" t="s">
        <v>151</v>
      </c>
      <c r="B147" s="6" t="n">
        <v>1</v>
      </c>
      <c r="C147" s="7" t="n">
        <v>1</v>
      </c>
      <c r="D147" s="8" t="n">
        <f aca="false">C147-B147</f>
        <v>0</v>
      </c>
      <c r="E147" s="9" t="n">
        <f aca="false">IF(B147=0,0,(C147-B147)/B147)</f>
        <v>0</v>
      </c>
      <c r="F147" s="10" t="str">
        <f aca="false">IF(ABS(D147)&lt;0.0001,"OK",IF(ABS(E147)&lt;=0.02,"Mineur","Critique"))</f>
        <v>OK</v>
      </c>
      <c r="G147" s="5" t="str">
        <f aca="false">IF(F147="OK","Aucune",IF(F147="Mineur","Ajustement mineur","Correction urgente"))</f>
        <v>Aucune</v>
      </c>
    </row>
    <row r="148" customFormat="false" ht="15" hidden="false" customHeight="true" outlineLevel="0" collapsed="false">
      <c r="A148" s="5" t="s">
        <v>152</v>
      </c>
      <c r="B148" s="6" t="n">
        <v>1.0839</v>
      </c>
      <c r="C148" s="7" t="n">
        <v>1.0839</v>
      </c>
      <c r="D148" s="8" t="n">
        <f aca="false">C148-B148</f>
        <v>0</v>
      </c>
      <c r="E148" s="9" t="n">
        <f aca="false">IF(B148=0,0,(C148-B148)/B148)</f>
        <v>0</v>
      </c>
      <c r="F148" s="10" t="str">
        <f aca="false">IF(ABS(D148)&lt;0.0001,"OK",IF(ABS(E148)&lt;=0.02,"Mineur","Critique"))</f>
        <v>OK</v>
      </c>
      <c r="G148" s="5" t="str">
        <f aca="false">IF(F148="OK","Aucune",IF(F148="Mineur","Ajustement mineur","Correction urgente"))</f>
        <v>Aucune</v>
      </c>
    </row>
    <row r="149" customFormat="false" ht="15" hidden="false" customHeight="true" outlineLevel="0" collapsed="false">
      <c r="A149" s="5" t="s">
        <v>153</v>
      </c>
      <c r="B149" s="6" t="n">
        <v>1.0394</v>
      </c>
      <c r="C149" s="7" t="n">
        <v>1.051</v>
      </c>
      <c r="D149" s="8" t="n">
        <f aca="false">C149-B149</f>
        <v>0.0115999999999998</v>
      </c>
      <c r="E149" s="9" t="n">
        <f aca="false">IF(B149=0,0,(C149-B149)/B149)</f>
        <v>0.0111602847796804</v>
      </c>
      <c r="F149" s="10" t="str">
        <f aca="false">IF(ABS(D149)&lt;0.0001,"OK",IF(ABS(E149)&lt;=0.02,"Mineur","Critique"))</f>
        <v>Mineur</v>
      </c>
      <c r="G149" s="5" t="str">
        <f aca="false">IF(F149="OK","Aucune",IF(F149="Mineur","Ajustement mineur","Correction urgente"))</f>
        <v>Ajustement mineur</v>
      </c>
    </row>
    <row r="150" customFormat="false" ht="15" hidden="false" customHeight="true" outlineLevel="0" collapsed="false">
      <c r="A150" s="5" t="s">
        <v>154</v>
      </c>
      <c r="B150" s="6" t="n">
        <v>0.9485</v>
      </c>
      <c r="C150" s="7" t="n">
        <v>0.908</v>
      </c>
      <c r="D150" s="8" t="n">
        <f aca="false">C150-B150</f>
        <v>-0.0405</v>
      </c>
      <c r="E150" s="9" t="n">
        <f aca="false">IF(B150=0,0,(C150-B150)/B150)</f>
        <v>-0.0426989984185556</v>
      </c>
      <c r="F150" s="10" t="str">
        <f aca="false">IF(ABS(D150)&lt;0.0001,"OK",IF(ABS(E150)&lt;=0.02,"Mineur","Critique"))</f>
        <v>Critique</v>
      </c>
      <c r="G150" s="5" t="str">
        <f aca="false">IF(F150="OK","Aucune",IF(F150="Mineur","Ajustement mineur","Correction urgente"))</f>
        <v>Correction urgente</v>
      </c>
    </row>
    <row r="151" customFormat="false" ht="15" hidden="false" customHeight="true" outlineLevel="0" collapsed="false">
      <c r="A151" s="5" t="s">
        <v>155</v>
      </c>
      <c r="B151" s="6" t="n">
        <v>1.1007</v>
      </c>
      <c r="C151" s="7" t="n">
        <v>1.1007</v>
      </c>
      <c r="D151" s="8" t="n">
        <f aca="false">C151-B151</f>
        <v>0</v>
      </c>
      <c r="E151" s="9" t="n">
        <f aca="false">IF(B151=0,0,(C151-B151)/B151)</f>
        <v>0</v>
      </c>
      <c r="F151" s="10" t="str">
        <f aca="false">IF(ABS(D151)&lt;0.0001,"OK",IF(ABS(E151)&lt;=0.02,"Mineur","Critique"))</f>
        <v>OK</v>
      </c>
      <c r="G151" s="5" t="str">
        <f aca="false">IF(F151="OK","Aucune",IF(F151="Mineur","Ajustement mineur","Correction urgente"))</f>
        <v>Aucune</v>
      </c>
    </row>
    <row r="152" customFormat="false" ht="15" hidden="false" customHeight="true" outlineLevel="0" collapsed="false">
      <c r="A152" s="5" t="s">
        <v>156</v>
      </c>
      <c r="B152" s="6" t="n">
        <v>0.9528</v>
      </c>
      <c r="C152" s="7" t="n">
        <v>0.9528</v>
      </c>
      <c r="D152" s="8" t="n">
        <f aca="false">C152-B152</f>
        <v>0</v>
      </c>
      <c r="E152" s="9" t="n">
        <f aca="false">IF(B152=0,0,(C152-B152)/B152)</f>
        <v>0</v>
      </c>
      <c r="F152" s="10" t="str">
        <f aca="false">IF(ABS(D152)&lt;0.0001,"OK",IF(ABS(E152)&lt;=0.02,"Mineur","Critique"))</f>
        <v>OK</v>
      </c>
      <c r="G152" s="5" t="str">
        <f aca="false">IF(F152="OK","Aucune",IF(F152="Mineur","Ajustement mineur","Correction urgente"))</f>
        <v>Aucune</v>
      </c>
    </row>
    <row r="153" customFormat="false" ht="15" hidden="false" customHeight="true" outlineLevel="0" collapsed="false">
      <c r="A153" s="5" t="s">
        <v>157</v>
      </c>
      <c r="B153" s="6" t="n">
        <v>1.0731</v>
      </c>
      <c r="C153" s="7" t="n">
        <v>1.0731</v>
      </c>
      <c r="D153" s="8" t="n">
        <f aca="false">C153-B153</f>
        <v>0</v>
      </c>
      <c r="E153" s="9" t="n">
        <f aca="false">IF(B153=0,0,(C153-B153)/B153)</f>
        <v>0</v>
      </c>
      <c r="F153" s="10" t="str">
        <f aca="false">IF(ABS(D153)&lt;0.0001,"OK",IF(ABS(E153)&lt;=0.02,"Mineur","Critique"))</f>
        <v>OK</v>
      </c>
      <c r="G153" s="5" t="str">
        <f aca="false">IF(F153="OK","Aucune",IF(F153="Mineur","Ajustement mineur","Correction urgente"))</f>
        <v>Aucune</v>
      </c>
    </row>
    <row r="154" customFormat="false" ht="15" hidden="false" customHeight="true" outlineLevel="0" collapsed="false">
      <c r="A154" s="5" t="s">
        <v>158</v>
      </c>
      <c r="B154" s="6" t="n">
        <v>1.0501</v>
      </c>
      <c r="C154" s="7" t="n">
        <v>1.0501</v>
      </c>
      <c r="D154" s="8" t="n">
        <f aca="false">C154-B154</f>
        <v>0</v>
      </c>
      <c r="E154" s="9" t="n">
        <f aca="false">IF(B154=0,0,(C154-B154)/B154)</f>
        <v>0</v>
      </c>
      <c r="F154" s="10" t="str">
        <f aca="false">IF(ABS(D154)&lt;0.0001,"OK",IF(ABS(E154)&lt;=0.02,"Mineur","Critique"))</f>
        <v>OK</v>
      </c>
      <c r="G154" s="5" t="str">
        <f aca="false">IF(F154="OK","Aucune",IF(F154="Mineur","Ajustement mineur","Correction urgente"))</f>
        <v>Aucune</v>
      </c>
    </row>
    <row r="155" customFormat="false" ht="15" hidden="false" customHeight="true" outlineLevel="0" collapsed="false">
      <c r="A155" s="5" t="s">
        <v>159</v>
      </c>
      <c r="B155" s="6" t="n">
        <v>0.9688</v>
      </c>
      <c r="C155" s="7" t="n">
        <v>1.0038</v>
      </c>
      <c r="D155" s="8" t="n">
        <f aca="false">C155-B155</f>
        <v>0.035</v>
      </c>
      <c r="E155" s="9" t="n">
        <f aca="false">IF(B155=0,0,(C155-B155)/B155)</f>
        <v>0.0361271676300578</v>
      </c>
      <c r="F155" s="10" t="str">
        <f aca="false">IF(ABS(D155)&lt;0.0001,"OK",IF(ABS(E155)&lt;=0.02,"Mineur","Critique"))</f>
        <v>Critique</v>
      </c>
      <c r="G155" s="5" t="str">
        <f aca="false">IF(F155="OK","Aucune",IF(F155="Mineur","Ajustement mineur","Correction urgente"))</f>
        <v>Correction urgente</v>
      </c>
    </row>
    <row r="156" customFormat="false" ht="15" hidden="false" customHeight="true" outlineLevel="0" collapsed="false">
      <c r="A156" s="5" t="s">
        <v>160</v>
      </c>
      <c r="B156" s="6" t="n">
        <v>1.0908</v>
      </c>
      <c r="C156" s="7" t="n">
        <v>1.0908</v>
      </c>
      <c r="D156" s="8" t="n">
        <f aca="false">C156-B156</f>
        <v>0</v>
      </c>
      <c r="E156" s="9" t="n">
        <f aca="false">IF(B156=0,0,(C156-B156)/B156)</f>
        <v>0</v>
      </c>
      <c r="F156" s="10" t="str">
        <f aca="false">IF(ABS(D156)&lt;0.0001,"OK",IF(ABS(E156)&lt;=0.02,"Mineur","Critique"))</f>
        <v>OK</v>
      </c>
      <c r="G156" s="5" t="str">
        <f aca="false">IF(F156="OK","Aucune",IF(F156="Mineur","Ajustement mineur","Correction urgente"))</f>
        <v>Aucune</v>
      </c>
    </row>
    <row r="157" customFormat="false" ht="15" hidden="false" customHeight="true" outlineLevel="0" collapsed="false">
      <c r="A157" s="5" t="s">
        <v>161</v>
      </c>
      <c r="B157" s="6" t="n">
        <v>0.9213</v>
      </c>
      <c r="C157" s="7" t="n">
        <v>0.9213</v>
      </c>
      <c r="D157" s="8" t="n">
        <f aca="false">C157-B157</f>
        <v>0</v>
      </c>
      <c r="E157" s="9" t="n">
        <f aca="false">IF(B157=0,0,(C157-B157)/B157)</f>
        <v>0</v>
      </c>
      <c r="F157" s="10" t="str">
        <f aca="false">IF(ABS(D157)&lt;0.0001,"OK",IF(ABS(E157)&lt;=0.02,"Mineur","Critique"))</f>
        <v>OK</v>
      </c>
      <c r="G157" s="5" t="str">
        <f aca="false">IF(F157="OK","Aucune",IF(F157="Mineur","Ajustement mineur","Correction urgente"))</f>
        <v>Aucune</v>
      </c>
    </row>
    <row r="158" customFormat="false" ht="15" hidden="false" customHeight="true" outlineLevel="0" collapsed="false">
      <c r="A158" s="5" t="s">
        <v>162</v>
      </c>
      <c r="B158" s="6" t="n">
        <v>1.1174</v>
      </c>
      <c r="C158" s="7" t="n">
        <v>1.0782</v>
      </c>
      <c r="D158" s="8" t="n">
        <f aca="false">C158-B158</f>
        <v>-0.0391999999999999</v>
      </c>
      <c r="E158" s="9" t="n">
        <f aca="false">IF(B158=0,0,(C158-B158)/B158)</f>
        <v>-0.0350814390549489</v>
      </c>
      <c r="F158" s="10" t="str">
        <f aca="false">IF(ABS(D158)&lt;0.0001,"OK",IF(ABS(E158)&lt;=0.02,"Mineur","Critique"))</f>
        <v>Critique</v>
      </c>
      <c r="G158" s="5" t="str">
        <f aca="false">IF(F158="OK","Aucune",IF(F158="Mineur","Ajustement mineur","Correction urgente"))</f>
        <v>Correction urgente</v>
      </c>
    </row>
    <row r="159" customFormat="false" ht="15" hidden="false" customHeight="true" outlineLevel="0" collapsed="false">
      <c r="A159" s="5" t="s">
        <v>163</v>
      </c>
      <c r="B159" s="6" t="n">
        <v>1</v>
      </c>
      <c r="C159" s="7" t="n">
        <v>1</v>
      </c>
      <c r="D159" s="8" t="n">
        <f aca="false">C159-B159</f>
        <v>0</v>
      </c>
      <c r="E159" s="9" t="n">
        <f aca="false">IF(B159=0,0,(C159-B159)/B159)</f>
        <v>0</v>
      </c>
      <c r="F159" s="10" t="str">
        <f aca="false">IF(ABS(D159)&lt;0.0001,"OK",IF(ABS(E159)&lt;=0.02,"Mineur","Critique"))</f>
        <v>OK</v>
      </c>
      <c r="G159" s="5" t="str">
        <f aca="false">IF(F159="OK","Aucune",IF(F159="Mineur","Ajustement mineur","Correction urgente"))</f>
        <v>Aucune</v>
      </c>
    </row>
    <row r="160" customFormat="false" ht="15" hidden="false" customHeight="true" outlineLevel="0" collapsed="false">
      <c r="A160" s="5" t="s">
        <v>164</v>
      </c>
      <c r="B160" s="6" t="n">
        <v>1.1356</v>
      </c>
      <c r="C160" s="7" t="n">
        <v>1.1356</v>
      </c>
      <c r="D160" s="8" t="n">
        <f aca="false">C160-B160</f>
        <v>0</v>
      </c>
      <c r="E160" s="9" t="n">
        <f aca="false">IF(B160=0,0,(C160-B160)/B160)</f>
        <v>0</v>
      </c>
      <c r="F160" s="10" t="str">
        <f aca="false">IF(ABS(D160)&lt;0.0001,"OK",IF(ABS(E160)&lt;=0.02,"Mineur","Critique"))</f>
        <v>OK</v>
      </c>
      <c r="G160" s="5" t="str">
        <f aca="false">IF(F160="OK","Aucune",IF(F160="Mineur","Ajustement mineur","Correction urgente"))</f>
        <v>Aucune</v>
      </c>
    </row>
    <row r="161" customFormat="false" ht="15" hidden="false" customHeight="true" outlineLevel="0" collapsed="false">
      <c r="A161" s="5" t="s">
        <v>165</v>
      </c>
      <c r="B161" s="6" t="n">
        <v>1.0319</v>
      </c>
      <c r="C161" s="7" t="n">
        <v>1.0319</v>
      </c>
      <c r="D161" s="8" t="n">
        <f aca="false">C161-B161</f>
        <v>0</v>
      </c>
      <c r="E161" s="9" t="n">
        <f aca="false">IF(B161=0,0,(C161-B161)/B161)</f>
        <v>0</v>
      </c>
      <c r="F161" s="10" t="str">
        <f aca="false">IF(ABS(D161)&lt;0.0001,"OK",IF(ABS(E161)&lt;=0.02,"Mineur","Critique"))</f>
        <v>OK</v>
      </c>
      <c r="G161" s="5" t="str">
        <f aca="false">IF(F161="OK","Aucune",IF(F161="Mineur","Ajustement mineur","Correction urgente"))</f>
        <v>Aucune</v>
      </c>
    </row>
    <row r="162" customFormat="false" ht="15" hidden="false" customHeight="true" outlineLevel="0" collapsed="false">
      <c r="A162" s="5" t="s">
        <v>166</v>
      </c>
      <c r="B162" s="6" t="n">
        <v>0.9461</v>
      </c>
      <c r="C162" s="7" t="n">
        <v>0.9461</v>
      </c>
      <c r="D162" s="8" t="n">
        <f aca="false">C162-B162</f>
        <v>0</v>
      </c>
      <c r="E162" s="9" t="n">
        <f aca="false">IF(B162=0,0,(C162-B162)/B162)</f>
        <v>0</v>
      </c>
      <c r="F162" s="10" t="str">
        <f aca="false">IF(ABS(D162)&lt;0.0001,"OK",IF(ABS(E162)&lt;=0.02,"Mineur","Critique"))</f>
        <v>OK</v>
      </c>
      <c r="G162" s="5" t="str">
        <f aca="false">IF(F162="OK","Aucune",IF(F162="Mineur","Ajustement mineur","Correction urgente"))</f>
        <v>Aucune</v>
      </c>
    </row>
    <row r="163" customFormat="false" ht="15" hidden="false" customHeight="true" outlineLevel="0" collapsed="false">
      <c r="A163" s="5" t="s">
        <v>167</v>
      </c>
      <c r="B163" s="6" t="n">
        <v>0.9521</v>
      </c>
      <c r="C163" s="7" t="n">
        <v>1.0459</v>
      </c>
      <c r="D163" s="8" t="n">
        <f aca="false">C163-B163</f>
        <v>0.0938000000000001</v>
      </c>
      <c r="E163" s="9" t="n">
        <f aca="false">IF(B163=0,0,(C163-B163)/B163)</f>
        <v>0.0985190631236216</v>
      </c>
      <c r="F163" s="10" t="str">
        <f aca="false">IF(ABS(D163)&lt;0.0001,"OK",IF(ABS(E163)&lt;=0.02,"Mineur","Critique"))</f>
        <v>Critique</v>
      </c>
      <c r="G163" s="5" t="str">
        <f aca="false">IF(F163="OK","Aucune",IF(F163="Mineur","Ajustement mineur","Correction urgente"))</f>
        <v>Correction urgente</v>
      </c>
    </row>
    <row r="164" customFormat="false" ht="15" hidden="false" customHeight="true" outlineLevel="0" collapsed="false">
      <c r="A164" s="5" t="s">
        <v>168</v>
      </c>
      <c r="B164" s="6" t="n">
        <v>1.0633</v>
      </c>
      <c r="C164" s="7" t="n">
        <v>1.0633</v>
      </c>
      <c r="D164" s="8" t="n">
        <f aca="false">C164-B164</f>
        <v>0</v>
      </c>
      <c r="E164" s="9" t="n">
        <f aca="false">IF(B164=0,0,(C164-B164)/B164)</f>
        <v>0</v>
      </c>
      <c r="F164" s="10" t="str">
        <f aca="false">IF(ABS(D164)&lt;0.0001,"OK",IF(ABS(E164)&lt;=0.02,"Mineur","Critique"))</f>
        <v>OK</v>
      </c>
      <c r="G164" s="5" t="str">
        <f aca="false">IF(F164="OK","Aucune",IF(F164="Mineur","Ajustement mineur","Correction urgente"))</f>
        <v>Aucune</v>
      </c>
    </row>
    <row r="165" customFormat="false" ht="15" hidden="false" customHeight="true" outlineLevel="0" collapsed="false">
      <c r="A165" s="5" t="s">
        <v>169</v>
      </c>
      <c r="B165" s="6" t="n">
        <v>1</v>
      </c>
      <c r="C165" s="7" t="n">
        <v>1</v>
      </c>
      <c r="D165" s="8" t="n">
        <f aca="false">C165-B165</f>
        <v>0</v>
      </c>
      <c r="E165" s="9" t="n">
        <f aca="false">IF(B165=0,0,(C165-B165)/B165)</f>
        <v>0</v>
      </c>
      <c r="F165" s="10" t="str">
        <f aca="false">IF(ABS(D165)&lt;0.0001,"OK",IF(ABS(E165)&lt;=0.02,"Mineur","Critique"))</f>
        <v>OK</v>
      </c>
      <c r="G165" s="5" t="str">
        <f aca="false">IF(F165="OK","Aucune",IF(F165="Mineur","Ajustement mineur","Correction urgente"))</f>
        <v>Aucune</v>
      </c>
    </row>
    <row r="166" customFormat="false" ht="15" hidden="false" customHeight="true" outlineLevel="0" collapsed="false">
      <c r="A166" s="5" t="s">
        <v>170</v>
      </c>
      <c r="B166" s="6" t="n">
        <v>1.1258</v>
      </c>
      <c r="C166" s="7" t="n">
        <v>1.1258</v>
      </c>
      <c r="D166" s="8" t="n">
        <f aca="false">C166-B166</f>
        <v>0</v>
      </c>
      <c r="E166" s="9" t="n">
        <f aca="false">IF(B166=0,0,(C166-B166)/B166)</f>
        <v>0</v>
      </c>
      <c r="F166" s="10" t="str">
        <f aca="false">IF(ABS(D166)&lt;0.0001,"OK",IF(ABS(E166)&lt;=0.02,"Mineur","Critique"))</f>
        <v>OK</v>
      </c>
      <c r="G166" s="5" t="str">
        <f aca="false">IF(F166="OK","Aucune",IF(F166="Mineur","Ajustement mineur","Correction urgente"))</f>
        <v>Aucune</v>
      </c>
    </row>
    <row r="167" customFormat="false" ht="15" hidden="false" customHeight="true" outlineLevel="0" collapsed="false">
      <c r="A167" s="5" t="s">
        <v>171</v>
      </c>
      <c r="B167" s="6" t="n">
        <v>0.907</v>
      </c>
      <c r="C167" s="7" t="n">
        <v>1.0046</v>
      </c>
      <c r="D167" s="8" t="n">
        <f aca="false">C167-B167</f>
        <v>0.0975999999999999</v>
      </c>
      <c r="E167" s="9" t="n">
        <f aca="false">IF(B167=0,0,(C167-B167)/B167)</f>
        <v>0.10760749724366</v>
      </c>
      <c r="F167" s="10" t="str">
        <f aca="false">IF(ABS(D167)&lt;0.0001,"OK",IF(ABS(E167)&lt;=0.02,"Mineur","Critique"))</f>
        <v>Critique</v>
      </c>
      <c r="G167" s="5" t="str">
        <f aca="false">IF(F167="OK","Aucune",IF(F167="Mineur","Ajustement mineur","Correction urgente"))</f>
        <v>Correction urgente</v>
      </c>
    </row>
    <row r="168" customFormat="false" ht="15" hidden="false" customHeight="true" outlineLevel="0" collapsed="false">
      <c r="A168" s="5" t="s">
        <v>172</v>
      </c>
      <c r="B168" s="6" t="n">
        <v>1</v>
      </c>
      <c r="C168" s="7" t="n">
        <v>1</v>
      </c>
      <c r="D168" s="8" t="n">
        <f aca="false">C168-B168</f>
        <v>0</v>
      </c>
      <c r="E168" s="9" t="n">
        <f aca="false">IF(B168=0,0,(C168-B168)/B168)</f>
        <v>0</v>
      </c>
      <c r="F168" s="10" t="str">
        <f aca="false">IF(ABS(D168)&lt;0.0001,"OK",IF(ABS(E168)&lt;=0.02,"Mineur","Critique"))</f>
        <v>OK</v>
      </c>
      <c r="G168" s="5" t="str">
        <f aca="false">IF(F168="OK","Aucune",IF(F168="Mineur","Ajustement mineur","Correction urgente"))</f>
        <v>Aucune</v>
      </c>
    </row>
    <row r="169" customFormat="false" ht="15" hidden="false" customHeight="true" outlineLevel="0" collapsed="false">
      <c r="A169" s="5" t="s">
        <v>173</v>
      </c>
      <c r="B169" s="6" t="n">
        <v>0.9399</v>
      </c>
      <c r="C169" s="7" t="n">
        <v>0.9399</v>
      </c>
      <c r="D169" s="8" t="n">
        <f aca="false">C169-B169</f>
        <v>0</v>
      </c>
      <c r="E169" s="9" t="n">
        <f aca="false">IF(B169=0,0,(C169-B169)/B169)</f>
        <v>0</v>
      </c>
      <c r="F169" s="10" t="str">
        <f aca="false">IF(ABS(D169)&lt;0.0001,"OK",IF(ABS(E169)&lt;=0.02,"Mineur","Critique"))</f>
        <v>OK</v>
      </c>
      <c r="G169" s="5" t="str">
        <f aca="false">IF(F169="OK","Aucune",IF(F169="Mineur","Ajustement mineur","Correction urgente"))</f>
        <v>Aucune</v>
      </c>
    </row>
    <row r="170" customFormat="false" ht="15" hidden="false" customHeight="true" outlineLevel="0" collapsed="false">
      <c r="A170" s="5" t="s">
        <v>174</v>
      </c>
      <c r="B170" s="6" t="n">
        <v>1</v>
      </c>
      <c r="C170" s="7" t="n">
        <v>1.0112</v>
      </c>
      <c r="D170" s="8" t="n">
        <f aca="false">C170-B170</f>
        <v>0.0112000000000001</v>
      </c>
      <c r="E170" s="9" t="n">
        <f aca="false">IF(B170=0,0,(C170-B170)/B170)</f>
        <v>0.0112000000000001</v>
      </c>
      <c r="F170" s="10" t="str">
        <f aca="false">IF(ABS(D170)&lt;0.0001,"OK",IF(ABS(E170)&lt;=0.02,"Mineur","Critique"))</f>
        <v>Mineur</v>
      </c>
      <c r="G170" s="5" t="str">
        <f aca="false">IF(F170="OK","Aucune",IF(F170="Mineur","Ajustement mineur","Correction urgente"))</f>
        <v>Ajustement mineur</v>
      </c>
    </row>
    <row r="171" customFormat="false" ht="15" hidden="false" customHeight="true" outlineLevel="0" collapsed="false">
      <c r="A171" s="5" t="s">
        <v>175</v>
      </c>
      <c r="B171" s="6" t="n">
        <v>0.9568</v>
      </c>
      <c r="C171" s="7" t="n">
        <v>0.9568</v>
      </c>
      <c r="D171" s="8" t="n">
        <f aca="false">C171-B171</f>
        <v>0</v>
      </c>
      <c r="E171" s="9" t="n">
        <f aca="false">IF(B171=0,0,(C171-B171)/B171)</f>
        <v>0</v>
      </c>
      <c r="F171" s="10" t="str">
        <f aca="false">IF(ABS(D171)&lt;0.0001,"OK",IF(ABS(E171)&lt;=0.02,"Mineur","Critique"))</f>
        <v>OK</v>
      </c>
      <c r="G171" s="5" t="str">
        <f aca="false">IF(F171="OK","Aucune",IF(F171="Mineur","Ajustement mineur","Correction urgente"))</f>
        <v>Aucune</v>
      </c>
    </row>
    <row r="172" customFormat="false" ht="15" hidden="false" customHeight="true" outlineLevel="0" collapsed="false">
      <c r="A172" s="5" t="s">
        <v>176</v>
      </c>
      <c r="B172" s="6" t="n">
        <v>0.9075</v>
      </c>
      <c r="C172" s="7" t="n">
        <v>0.9075</v>
      </c>
      <c r="D172" s="8" t="n">
        <f aca="false">C172-B172</f>
        <v>0</v>
      </c>
      <c r="E172" s="9" t="n">
        <f aca="false">IF(B172=0,0,(C172-B172)/B172)</f>
        <v>0</v>
      </c>
      <c r="F172" s="10" t="str">
        <f aca="false">IF(ABS(D172)&lt;0.0001,"OK",IF(ABS(E172)&lt;=0.02,"Mineur","Critique"))</f>
        <v>OK</v>
      </c>
      <c r="G172" s="5" t="str">
        <f aca="false">IF(F172="OK","Aucune",IF(F172="Mineur","Ajustement mineur","Correction urgente"))</f>
        <v>Aucune</v>
      </c>
    </row>
    <row r="173" customFormat="false" ht="15" hidden="false" customHeight="true" outlineLevel="0" collapsed="false">
      <c r="A173" s="5" t="s">
        <v>177</v>
      </c>
      <c r="B173" s="6" t="n">
        <v>1</v>
      </c>
      <c r="C173" s="7" t="n">
        <v>0.9831</v>
      </c>
      <c r="D173" s="8" t="n">
        <f aca="false">C173-B173</f>
        <v>-0.0169</v>
      </c>
      <c r="E173" s="9" t="n">
        <f aca="false">IF(B173=0,0,(C173-B173)/B173)</f>
        <v>-0.0169</v>
      </c>
      <c r="F173" s="10" t="str">
        <f aca="false">IF(ABS(D173)&lt;0.0001,"OK",IF(ABS(E173)&lt;=0.02,"Mineur","Critique"))</f>
        <v>Mineur</v>
      </c>
      <c r="G173" s="5" t="str">
        <f aca="false">IF(F173="OK","Aucune",IF(F173="Mineur","Ajustement mineur","Correction urgente"))</f>
        <v>Ajustement mineur</v>
      </c>
    </row>
    <row r="174" customFormat="false" ht="15" hidden="false" customHeight="true" outlineLevel="0" collapsed="false">
      <c r="A174" s="5" t="s">
        <v>178</v>
      </c>
      <c r="B174" s="6" t="n">
        <v>1.0517</v>
      </c>
      <c r="C174" s="7" t="n">
        <v>1.0517</v>
      </c>
      <c r="D174" s="8" t="n">
        <f aca="false">C174-B174</f>
        <v>0</v>
      </c>
      <c r="E174" s="9" t="n">
        <f aca="false">IF(B174=0,0,(C174-B174)/B174)</f>
        <v>0</v>
      </c>
      <c r="F174" s="10" t="str">
        <f aca="false">IF(ABS(D174)&lt;0.0001,"OK",IF(ABS(E174)&lt;=0.02,"Mineur","Critique"))</f>
        <v>OK</v>
      </c>
      <c r="G174" s="5" t="str">
        <f aca="false">IF(F174="OK","Aucune",IF(F174="Mineur","Ajustement mineur","Correction urgente"))</f>
        <v>Aucune</v>
      </c>
    </row>
    <row r="175" customFormat="false" ht="15" hidden="false" customHeight="true" outlineLevel="0" collapsed="false">
      <c r="A175" s="5" t="s">
        <v>179</v>
      </c>
      <c r="B175" s="6" t="n">
        <v>1.0979</v>
      </c>
      <c r="C175" s="7" t="n">
        <v>1.1559</v>
      </c>
      <c r="D175" s="8" t="n">
        <f aca="false">C175-B175</f>
        <v>0.0579999999999998</v>
      </c>
      <c r="E175" s="9" t="n">
        <f aca="false">IF(B175=0,0,(C175-B175)/B175)</f>
        <v>0.0528281264231714</v>
      </c>
      <c r="F175" s="10" t="str">
        <f aca="false">IF(ABS(D175)&lt;0.0001,"OK",IF(ABS(E175)&lt;=0.02,"Mineur","Critique"))</f>
        <v>Critique</v>
      </c>
      <c r="G175" s="5" t="str">
        <f aca="false">IF(F175="OK","Aucune",IF(F175="Mineur","Ajustement mineur","Correction urgente"))</f>
        <v>Correction urgente</v>
      </c>
    </row>
    <row r="176" customFormat="false" ht="15" hidden="false" customHeight="true" outlineLevel="0" collapsed="false">
      <c r="A176" s="5" t="s">
        <v>180</v>
      </c>
      <c r="B176" s="6" t="n">
        <v>1</v>
      </c>
      <c r="C176" s="7" t="n">
        <v>1.0174</v>
      </c>
      <c r="D176" s="8" t="n">
        <f aca="false">C176-B176</f>
        <v>0.0174000000000001</v>
      </c>
      <c r="E176" s="9" t="n">
        <f aca="false">IF(B176=0,0,(C176-B176)/B176)</f>
        <v>0.0174000000000001</v>
      </c>
      <c r="F176" s="10" t="str">
        <f aca="false">IF(ABS(D176)&lt;0.0001,"OK",IF(ABS(E176)&lt;=0.02,"Mineur","Critique"))</f>
        <v>Mineur</v>
      </c>
      <c r="G176" s="5" t="str">
        <f aca="false">IF(F176="OK","Aucune",IF(F176="Mineur","Ajustement mineur","Correction urgente"))</f>
        <v>Ajustement mineur</v>
      </c>
    </row>
    <row r="177" customFormat="false" ht="15" hidden="false" customHeight="true" outlineLevel="0" collapsed="false">
      <c r="A177" s="5" t="s">
        <v>181</v>
      </c>
      <c r="B177" s="6" t="n">
        <v>1</v>
      </c>
      <c r="C177" s="7" t="n">
        <v>1</v>
      </c>
      <c r="D177" s="8" t="n">
        <f aca="false">C177-B177</f>
        <v>0</v>
      </c>
      <c r="E177" s="9" t="n">
        <f aca="false">IF(B177=0,0,(C177-B177)/B177)</f>
        <v>0</v>
      </c>
      <c r="F177" s="10" t="str">
        <f aca="false">IF(ABS(D177)&lt;0.0001,"OK",IF(ABS(E177)&lt;=0.02,"Mineur","Critique"))</f>
        <v>OK</v>
      </c>
      <c r="G177" s="5" t="str">
        <f aca="false">IF(F177="OK","Aucune",IF(F177="Mineur","Ajustement mineur","Correction urgente"))</f>
        <v>Aucune</v>
      </c>
    </row>
    <row r="178" customFormat="false" ht="15" hidden="false" customHeight="true" outlineLevel="0" collapsed="false">
      <c r="A178" s="5" t="s">
        <v>182</v>
      </c>
      <c r="B178" s="6" t="n">
        <v>1</v>
      </c>
      <c r="C178" s="7" t="n">
        <v>0.9478</v>
      </c>
      <c r="D178" s="8" t="n">
        <f aca="false">C178-B178</f>
        <v>-0.0522</v>
      </c>
      <c r="E178" s="9" t="n">
        <f aca="false">IF(B178=0,0,(C178-B178)/B178)</f>
        <v>-0.0522</v>
      </c>
      <c r="F178" s="10" t="str">
        <f aca="false">IF(ABS(D178)&lt;0.0001,"OK",IF(ABS(E178)&lt;=0.02,"Mineur","Critique"))</f>
        <v>Critique</v>
      </c>
      <c r="G178" s="5" t="str">
        <f aca="false">IF(F178="OK","Aucune",IF(F178="Mineur","Ajustement mineur","Correction urgente"))</f>
        <v>Correction urgente</v>
      </c>
    </row>
    <row r="179" customFormat="false" ht="15" hidden="false" customHeight="true" outlineLevel="0" collapsed="false">
      <c r="A179" s="5" t="s">
        <v>183</v>
      </c>
      <c r="B179" s="6" t="n">
        <v>0.9187</v>
      </c>
      <c r="C179" s="7" t="n">
        <v>0.9187</v>
      </c>
      <c r="D179" s="8" t="n">
        <f aca="false">C179-B179</f>
        <v>0</v>
      </c>
      <c r="E179" s="9" t="n">
        <f aca="false">IF(B179=0,0,(C179-B179)/B179)</f>
        <v>0</v>
      </c>
      <c r="F179" s="10" t="str">
        <f aca="false">IF(ABS(D179)&lt;0.0001,"OK",IF(ABS(E179)&lt;=0.02,"Mineur","Critique"))</f>
        <v>OK</v>
      </c>
      <c r="G179" s="5" t="str">
        <f aca="false">IF(F179="OK","Aucune",IF(F179="Mineur","Ajustement mineur","Correction urgente"))</f>
        <v>Aucune</v>
      </c>
    </row>
    <row r="180" customFormat="false" ht="15" hidden="false" customHeight="true" outlineLevel="0" collapsed="false">
      <c r="A180" s="5" t="s">
        <v>184</v>
      </c>
      <c r="B180" s="6" t="n">
        <v>1</v>
      </c>
      <c r="C180" s="7" t="n">
        <v>1</v>
      </c>
      <c r="D180" s="8" t="n">
        <f aca="false">C180-B180</f>
        <v>0</v>
      </c>
      <c r="E180" s="9" t="n">
        <f aca="false">IF(B180=0,0,(C180-B180)/B180)</f>
        <v>0</v>
      </c>
      <c r="F180" s="10" t="str">
        <f aca="false">IF(ABS(D180)&lt;0.0001,"OK",IF(ABS(E180)&lt;=0.02,"Mineur","Critique"))</f>
        <v>OK</v>
      </c>
      <c r="G180" s="5" t="str">
        <f aca="false">IF(F180="OK","Aucune",IF(F180="Mineur","Ajustement mineur","Correction urgente"))</f>
        <v>Aucune</v>
      </c>
    </row>
    <row r="181" customFormat="false" ht="15" hidden="false" customHeight="true" outlineLevel="0" collapsed="false">
      <c r="A181" s="5" t="s">
        <v>185</v>
      </c>
      <c r="B181" s="6" t="n">
        <v>0.9531</v>
      </c>
      <c r="C181" s="7" t="n">
        <v>0.9531</v>
      </c>
      <c r="D181" s="8" t="n">
        <f aca="false">C181-B181</f>
        <v>0</v>
      </c>
      <c r="E181" s="9" t="n">
        <f aca="false">IF(B181=0,0,(C181-B181)/B181)</f>
        <v>0</v>
      </c>
      <c r="F181" s="10" t="str">
        <f aca="false">IF(ABS(D181)&lt;0.0001,"OK",IF(ABS(E181)&lt;=0.02,"Mineur","Critique"))</f>
        <v>OK</v>
      </c>
      <c r="G181" s="5" t="str">
        <f aca="false">IF(F181="OK","Aucune",IF(F181="Mineur","Ajustement mineur","Correction urgente"))</f>
        <v>Aucune</v>
      </c>
    </row>
    <row r="182" customFormat="false" ht="15" hidden="false" customHeight="true" outlineLevel="0" collapsed="false">
      <c r="A182" s="5" t="s">
        <v>186</v>
      </c>
      <c r="B182" s="6" t="n">
        <v>1.0853</v>
      </c>
      <c r="C182" s="7" t="n">
        <v>1.0853</v>
      </c>
      <c r="D182" s="8" t="n">
        <f aca="false">C182-B182</f>
        <v>0</v>
      </c>
      <c r="E182" s="9" t="n">
        <f aca="false">IF(B182=0,0,(C182-B182)/B182)</f>
        <v>0</v>
      </c>
      <c r="F182" s="10" t="str">
        <f aca="false">IF(ABS(D182)&lt;0.0001,"OK",IF(ABS(E182)&lt;=0.02,"Mineur","Critique"))</f>
        <v>OK</v>
      </c>
      <c r="G182" s="5" t="str">
        <f aca="false">IF(F182="OK","Aucune",IF(F182="Mineur","Ajustement mineur","Correction urgente"))</f>
        <v>Aucune</v>
      </c>
    </row>
    <row r="183" customFormat="false" ht="15" hidden="false" customHeight="true" outlineLevel="0" collapsed="false">
      <c r="A183" s="5" t="s">
        <v>187</v>
      </c>
      <c r="B183" s="6" t="n">
        <v>0.908</v>
      </c>
      <c r="C183" s="7" t="n">
        <v>0.908</v>
      </c>
      <c r="D183" s="8" t="n">
        <f aca="false">C183-B183</f>
        <v>0</v>
      </c>
      <c r="E183" s="9" t="n">
        <f aca="false">IF(B183=0,0,(C183-B183)/B183)</f>
        <v>0</v>
      </c>
      <c r="F183" s="10" t="str">
        <f aca="false">IF(ABS(D183)&lt;0.0001,"OK",IF(ABS(E183)&lt;=0.02,"Mineur","Critique"))</f>
        <v>OK</v>
      </c>
      <c r="G183" s="5" t="str">
        <f aca="false">IF(F183="OK","Aucune",IF(F183="Mineur","Ajustement mineur","Correction urgente"))</f>
        <v>Aucune</v>
      </c>
    </row>
    <row r="184" customFormat="false" ht="15" hidden="false" customHeight="true" outlineLevel="0" collapsed="false">
      <c r="A184" s="5" t="s">
        <v>188</v>
      </c>
      <c r="B184" s="6" t="n">
        <v>1</v>
      </c>
      <c r="C184" s="7" t="n">
        <v>1</v>
      </c>
      <c r="D184" s="8" t="n">
        <f aca="false">C184-B184</f>
        <v>0</v>
      </c>
      <c r="E184" s="9" t="n">
        <f aca="false">IF(B184=0,0,(C184-B184)/B184)</f>
        <v>0</v>
      </c>
      <c r="F184" s="10" t="str">
        <f aca="false">IF(ABS(D184)&lt;0.0001,"OK",IF(ABS(E184)&lt;=0.02,"Mineur","Critique"))</f>
        <v>OK</v>
      </c>
      <c r="G184" s="5" t="str">
        <f aca="false">IF(F184="OK","Aucune",IF(F184="Mineur","Ajustement mineur","Correction urgente"))</f>
        <v>Aucune</v>
      </c>
    </row>
    <row r="185" customFormat="false" ht="15" hidden="false" customHeight="true" outlineLevel="0" collapsed="false">
      <c r="A185" s="5" t="s">
        <v>189</v>
      </c>
      <c r="B185" s="6" t="n">
        <v>1.1101</v>
      </c>
      <c r="C185" s="7" t="n">
        <v>1.1101</v>
      </c>
      <c r="D185" s="8" t="n">
        <f aca="false">C185-B185</f>
        <v>0</v>
      </c>
      <c r="E185" s="9" t="n">
        <f aca="false">IF(B185=0,0,(C185-B185)/B185)</f>
        <v>0</v>
      </c>
      <c r="F185" s="10" t="str">
        <f aca="false">IF(ABS(D185)&lt;0.0001,"OK",IF(ABS(E185)&lt;=0.02,"Mineur","Critique"))</f>
        <v>OK</v>
      </c>
      <c r="G185" s="5" t="str">
        <f aca="false">IF(F185="OK","Aucune",IF(F185="Mineur","Ajustement mineur","Correction urgente"))</f>
        <v>Aucune</v>
      </c>
    </row>
    <row r="186" customFormat="false" ht="15" hidden="false" customHeight="true" outlineLevel="0" collapsed="false">
      <c r="A186" s="5" t="s">
        <v>190</v>
      </c>
      <c r="B186" s="6" t="n">
        <v>1.1077</v>
      </c>
      <c r="C186" s="7" t="n">
        <v>1.1077</v>
      </c>
      <c r="D186" s="8" t="n">
        <f aca="false">C186-B186</f>
        <v>0</v>
      </c>
      <c r="E186" s="9" t="n">
        <f aca="false">IF(B186=0,0,(C186-B186)/B186)</f>
        <v>0</v>
      </c>
      <c r="F186" s="10" t="str">
        <f aca="false">IF(ABS(D186)&lt;0.0001,"OK",IF(ABS(E186)&lt;=0.02,"Mineur","Critique"))</f>
        <v>OK</v>
      </c>
      <c r="G186" s="5" t="str">
        <f aca="false">IF(F186="OK","Aucune",IF(F186="Mineur","Ajustement mineur","Correction urgente"))</f>
        <v>Aucune</v>
      </c>
    </row>
    <row r="187" customFormat="false" ht="15" hidden="false" customHeight="true" outlineLevel="0" collapsed="false">
      <c r="A187" s="5" t="s">
        <v>191</v>
      </c>
      <c r="B187" s="6" t="n">
        <v>1</v>
      </c>
      <c r="C187" s="7" t="n">
        <v>1</v>
      </c>
      <c r="D187" s="8" t="n">
        <f aca="false">C187-B187</f>
        <v>0</v>
      </c>
      <c r="E187" s="9" t="n">
        <f aca="false">IF(B187=0,0,(C187-B187)/B187)</f>
        <v>0</v>
      </c>
      <c r="F187" s="10" t="str">
        <f aca="false">IF(ABS(D187)&lt;0.0001,"OK",IF(ABS(E187)&lt;=0.02,"Mineur","Critique"))</f>
        <v>OK</v>
      </c>
      <c r="G187" s="5" t="str">
        <f aca="false">IF(F187="OK","Aucune",IF(F187="Mineur","Ajustement mineur","Correction urgente"))</f>
        <v>Aucune</v>
      </c>
    </row>
    <row r="188" customFormat="false" ht="15" hidden="false" customHeight="true" outlineLevel="0" collapsed="false">
      <c r="A188" s="5" t="s">
        <v>192</v>
      </c>
      <c r="B188" s="6" t="n">
        <v>1</v>
      </c>
      <c r="C188" s="7" t="n">
        <v>1.0382</v>
      </c>
      <c r="D188" s="8" t="n">
        <f aca="false">C188-B188</f>
        <v>0.0382</v>
      </c>
      <c r="E188" s="9" t="n">
        <f aca="false">IF(B188=0,0,(C188-B188)/B188)</f>
        <v>0.0382</v>
      </c>
      <c r="F188" s="10" t="str">
        <f aca="false">IF(ABS(D188)&lt;0.0001,"OK",IF(ABS(E188)&lt;=0.02,"Mineur","Critique"))</f>
        <v>Critique</v>
      </c>
      <c r="G188" s="5" t="str">
        <f aca="false">IF(F188="OK","Aucune",IF(F188="Mineur","Ajustement mineur","Correction urgente"))</f>
        <v>Correction urgente</v>
      </c>
    </row>
    <row r="189" customFormat="false" ht="15" hidden="false" customHeight="true" outlineLevel="0" collapsed="false">
      <c r="A189" s="5" t="s">
        <v>193</v>
      </c>
      <c r="B189" s="6" t="n">
        <v>0.9555</v>
      </c>
      <c r="C189" s="7" t="n">
        <v>0.9555</v>
      </c>
      <c r="D189" s="8" t="n">
        <f aca="false">C189-B189</f>
        <v>0</v>
      </c>
      <c r="E189" s="9" t="n">
        <f aca="false">IF(B189=0,0,(C189-B189)/B189)</f>
        <v>0</v>
      </c>
      <c r="F189" s="10" t="str">
        <f aca="false">IF(ABS(D189)&lt;0.0001,"OK",IF(ABS(E189)&lt;=0.02,"Mineur","Critique"))</f>
        <v>OK</v>
      </c>
      <c r="G189" s="5" t="str">
        <f aca="false">IF(F189="OK","Aucune",IF(F189="Mineur","Ajustement mineur","Correction urgente"))</f>
        <v>Aucune</v>
      </c>
    </row>
    <row r="190" customFormat="false" ht="15" hidden="false" customHeight="true" outlineLevel="0" collapsed="false">
      <c r="A190" s="5" t="s">
        <v>194</v>
      </c>
      <c r="B190" s="6" t="n">
        <v>1</v>
      </c>
      <c r="C190" s="7" t="n">
        <v>1</v>
      </c>
      <c r="D190" s="8" t="n">
        <f aca="false">C190-B190</f>
        <v>0</v>
      </c>
      <c r="E190" s="9" t="n">
        <f aca="false">IF(B190=0,0,(C190-B190)/B190)</f>
        <v>0</v>
      </c>
      <c r="F190" s="10" t="str">
        <f aca="false">IF(ABS(D190)&lt;0.0001,"OK",IF(ABS(E190)&lt;=0.02,"Mineur","Critique"))</f>
        <v>OK</v>
      </c>
      <c r="G190" s="5" t="str">
        <f aca="false">IF(F190="OK","Aucune",IF(F190="Mineur","Ajustement mineur","Correction urgente"))</f>
        <v>Aucune</v>
      </c>
    </row>
    <row r="191" customFormat="false" ht="15" hidden="false" customHeight="true" outlineLevel="0" collapsed="false">
      <c r="A191" s="5" t="s">
        <v>195</v>
      </c>
      <c r="B191" s="6" t="n">
        <v>0.9425</v>
      </c>
      <c r="C191" s="7" t="n">
        <v>0.9425</v>
      </c>
      <c r="D191" s="8" t="n">
        <f aca="false">C191-B191</f>
        <v>0</v>
      </c>
      <c r="E191" s="9" t="n">
        <f aca="false">IF(B191=0,0,(C191-B191)/B191)</f>
        <v>0</v>
      </c>
      <c r="F191" s="10" t="str">
        <f aca="false">IF(ABS(D191)&lt;0.0001,"OK",IF(ABS(E191)&lt;=0.02,"Mineur","Critique"))</f>
        <v>OK</v>
      </c>
      <c r="G191" s="5" t="str">
        <f aca="false">IF(F191="OK","Aucune",IF(F191="Mineur","Ajustement mineur","Correction urgente"))</f>
        <v>Aucune</v>
      </c>
    </row>
    <row r="192" customFormat="false" ht="15" hidden="false" customHeight="true" outlineLevel="0" collapsed="false">
      <c r="A192" s="5" t="s">
        <v>196</v>
      </c>
      <c r="B192" s="6" t="n">
        <v>1.1332</v>
      </c>
      <c r="C192" s="7" t="n">
        <v>1.1332</v>
      </c>
      <c r="D192" s="8" t="n">
        <f aca="false">C192-B192</f>
        <v>0</v>
      </c>
      <c r="E192" s="9" t="n">
        <f aca="false">IF(B192=0,0,(C192-B192)/B192)</f>
        <v>0</v>
      </c>
      <c r="F192" s="10" t="str">
        <f aca="false">IF(ABS(D192)&lt;0.0001,"OK",IF(ABS(E192)&lt;=0.02,"Mineur","Critique"))</f>
        <v>OK</v>
      </c>
      <c r="G192" s="5" t="str">
        <f aca="false">IF(F192="OK","Aucune",IF(F192="Mineur","Ajustement mineur","Correction urgente"))</f>
        <v>Aucune</v>
      </c>
    </row>
    <row r="193" customFormat="false" ht="15" hidden="false" customHeight="true" outlineLevel="0" collapsed="false">
      <c r="A193" s="5" t="s">
        <v>197</v>
      </c>
      <c r="B193" s="6" t="n">
        <v>0.9398</v>
      </c>
      <c r="C193" s="7" t="n">
        <v>0.9398</v>
      </c>
      <c r="D193" s="8" t="n">
        <f aca="false">C193-B193</f>
        <v>0</v>
      </c>
      <c r="E193" s="9" t="n">
        <f aca="false">IF(B193=0,0,(C193-B193)/B193)</f>
        <v>0</v>
      </c>
      <c r="F193" s="10" t="str">
        <f aca="false">IF(ABS(D193)&lt;0.0001,"OK",IF(ABS(E193)&lt;=0.02,"Mineur","Critique"))</f>
        <v>OK</v>
      </c>
      <c r="G193" s="5" t="str">
        <f aca="false">IF(F193="OK","Aucune",IF(F193="Mineur","Ajustement mineur","Correction urgente"))</f>
        <v>Aucune</v>
      </c>
    </row>
    <row r="194" customFormat="false" ht="15" hidden="false" customHeight="true" outlineLevel="0" collapsed="false">
      <c r="A194" s="5" t="s">
        <v>198</v>
      </c>
      <c r="B194" s="6" t="n">
        <v>0.9203</v>
      </c>
      <c r="C194" s="7" t="n">
        <v>0.8889</v>
      </c>
      <c r="D194" s="8" t="n">
        <f aca="false">C194-B194</f>
        <v>-0.0314</v>
      </c>
      <c r="E194" s="9" t="n">
        <f aca="false">IF(B194=0,0,(C194-B194)/B194)</f>
        <v>-0.034119308921004</v>
      </c>
      <c r="F194" s="10" t="str">
        <f aca="false">IF(ABS(D194)&lt;0.0001,"OK",IF(ABS(E194)&lt;=0.02,"Mineur","Critique"))</f>
        <v>Critique</v>
      </c>
      <c r="G194" s="5" t="str">
        <f aca="false">IF(F194="OK","Aucune",IF(F194="Mineur","Ajustement mineur","Correction urgente"))</f>
        <v>Correction urgente</v>
      </c>
    </row>
    <row r="195" customFormat="false" ht="15" hidden="false" customHeight="true" outlineLevel="0" collapsed="false">
      <c r="A195" s="5" t="s">
        <v>199</v>
      </c>
      <c r="B195" s="6" t="n">
        <v>1.0649</v>
      </c>
      <c r="C195" s="7" t="n">
        <v>1.0649</v>
      </c>
      <c r="D195" s="8" t="n">
        <f aca="false">C195-B195</f>
        <v>0</v>
      </c>
      <c r="E195" s="9" t="n">
        <f aca="false">IF(B195=0,0,(C195-B195)/B195)</f>
        <v>0</v>
      </c>
      <c r="F195" s="10" t="str">
        <f aca="false">IF(ABS(D195)&lt;0.0001,"OK",IF(ABS(E195)&lt;=0.02,"Mineur","Critique"))</f>
        <v>OK</v>
      </c>
      <c r="G195" s="5" t="str">
        <f aca="false">IF(F195="OK","Aucune",IF(F195="Mineur","Ajustement mineur","Correction urgente"))</f>
        <v>Aucune</v>
      </c>
    </row>
    <row r="196" customFormat="false" ht="15" hidden="false" customHeight="true" outlineLevel="0" collapsed="false">
      <c r="A196" s="5" t="s">
        <v>200</v>
      </c>
      <c r="B196" s="6" t="n">
        <v>1</v>
      </c>
      <c r="C196" s="7" t="n">
        <v>1.0254</v>
      </c>
      <c r="D196" s="8" t="n">
        <f aca="false">C196-B196</f>
        <v>0.0254000000000001</v>
      </c>
      <c r="E196" s="9" t="n">
        <f aca="false">IF(B196=0,0,(C196-B196)/B196)</f>
        <v>0.0254000000000001</v>
      </c>
      <c r="F196" s="10" t="str">
        <f aca="false">IF(ABS(D196)&lt;0.0001,"OK",IF(ABS(E196)&lt;=0.02,"Mineur","Critique"))</f>
        <v>Critique</v>
      </c>
      <c r="G196" s="5" t="str">
        <f aca="false">IF(F196="OK","Aucune",IF(F196="Mineur","Ajustement mineur","Correction urgente"))</f>
        <v>Correction urgente</v>
      </c>
    </row>
    <row r="197" customFormat="false" ht="15" hidden="false" customHeight="true" outlineLevel="0" collapsed="false">
      <c r="A197" s="5" t="s">
        <v>201</v>
      </c>
      <c r="B197" s="6" t="n">
        <v>1</v>
      </c>
      <c r="C197" s="7" t="n">
        <v>1</v>
      </c>
      <c r="D197" s="8" t="n">
        <f aca="false">C197-B197</f>
        <v>0</v>
      </c>
      <c r="E197" s="9" t="n">
        <f aca="false">IF(B197=0,0,(C197-B197)/B197)</f>
        <v>0</v>
      </c>
      <c r="F197" s="10" t="str">
        <f aca="false">IF(ABS(D197)&lt;0.0001,"OK",IF(ABS(E197)&lt;=0.02,"Mineur","Critique"))</f>
        <v>OK</v>
      </c>
      <c r="G197" s="5" t="str">
        <f aca="false">IF(F197="OK","Aucune",IF(F197="Mineur","Ajustement mineur","Correction urgente"))</f>
        <v>Aucune</v>
      </c>
    </row>
    <row r="198" customFormat="false" ht="15" hidden="false" customHeight="true" outlineLevel="0" collapsed="false">
      <c r="A198" s="5" t="s">
        <v>202</v>
      </c>
      <c r="B198" s="6" t="n">
        <v>1.1325</v>
      </c>
      <c r="C198" s="7" t="n">
        <v>1.1325</v>
      </c>
      <c r="D198" s="8" t="n">
        <f aca="false">C198-B198</f>
        <v>0</v>
      </c>
      <c r="E198" s="9" t="n">
        <f aca="false">IF(B198=0,0,(C198-B198)/B198)</f>
        <v>0</v>
      </c>
      <c r="F198" s="10" t="str">
        <f aca="false">IF(ABS(D198)&lt;0.0001,"OK",IF(ABS(E198)&lt;=0.02,"Mineur","Critique"))</f>
        <v>OK</v>
      </c>
      <c r="G198" s="5" t="str">
        <f aca="false">IF(F198="OK","Aucune",IF(F198="Mineur","Ajustement mineur","Correction urgente"))</f>
        <v>Aucune</v>
      </c>
    </row>
    <row r="199" customFormat="false" ht="15" hidden="false" customHeight="true" outlineLevel="0" collapsed="false">
      <c r="A199" s="5" t="s">
        <v>203</v>
      </c>
      <c r="B199" s="6" t="n">
        <v>1</v>
      </c>
      <c r="C199" s="7" t="n">
        <v>1</v>
      </c>
      <c r="D199" s="8" t="n">
        <f aca="false">C199-B199</f>
        <v>0</v>
      </c>
      <c r="E199" s="9" t="n">
        <f aca="false">IF(B199=0,0,(C199-B199)/B199)</f>
        <v>0</v>
      </c>
      <c r="F199" s="10" t="str">
        <f aca="false">IF(ABS(D199)&lt;0.0001,"OK",IF(ABS(E199)&lt;=0.02,"Mineur","Critique"))</f>
        <v>OK</v>
      </c>
      <c r="G199" s="5" t="str">
        <f aca="false">IF(F199="OK","Aucune",IF(F199="Mineur","Ajustement mineur","Correction urgente"))</f>
        <v>Aucune</v>
      </c>
    </row>
    <row r="200" customFormat="false" ht="15" hidden="false" customHeight="true" outlineLevel="0" collapsed="false">
      <c r="A200" s="5" t="s">
        <v>204</v>
      </c>
      <c r="B200" s="6" t="n">
        <v>1.0526</v>
      </c>
      <c r="C200" s="7" t="n">
        <v>1.0298</v>
      </c>
      <c r="D200" s="8" t="n">
        <f aca="false">C200-B200</f>
        <v>-0.0227999999999999</v>
      </c>
      <c r="E200" s="9" t="n">
        <f aca="false">IF(B200=0,0,(C200-B200)/B200)</f>
        <v>-0.0216606498194945</v>
      </c>
      <c r="F200" s="10" t="str">
        <f aca="false">IF(ABS(D200)&lt;0.0001,"OK",IF(ABS(E200)&lt;=0.02,"Mineur","Critique"))</f>
        <v>Critique</v>
      </c>
      <c r="G200" s="5" t="str">
        <f aca="false">IF(F200="OK","Aucune",IF(F200="Mineur","Ajustement mineur","Correction urgente"))</f>
        <v>Correction urgente</v>
      </c>
    </row>
    <row r="201" customFormat="false" ht="15" hidden="false" customHeight="true" outlineLevel="0" collapsed="false">
      <c r="A201" s="5" t="s">
        <v>205</v>
      </c>
      <c r="B201" s="6" t="n">
        <v>1.0773</v>
      </c>
      <c r="C201" s="7" t="n">
        <v>1.0773</v>
      </c>
      <c r="D201" s="8" t="n">
        <f aca="false">C201-B201</f>
        <v>0</v>
      </c>
      <c r="E201" s="9" t="n">
        <f aca="false">IF(B201=0,0,(C201-B201)/B201)</f>
        <v>0</v>
      </c>
      <c r="F201" s="10" t="str">
        <f aca="false">IF(ABS(D201)&lt;0.0001,"OK",IF(ABS(E201)&lt;=0.02,"Mineur","Critique"))</f>
        <v>OK</v>
      </c>
      <c r="G201" s="5" t="str">
        <f aca="false">IF(F201="OK","Aucune",IF(F201="Mineur","Ajustement mineur","Correction urgente"))</f>
        <v>Aucune</v>
      </c>
    </row>
    <row r="202" customFormat="false" ht="15" hidden="false" customHeight="true" outlineLevel="0" collapsed="false">
      <c r="A202" s="5" t="s">
        <v>206</v>
      </c>
      <c r="B202" s="6" t="n">
        <v>1</v>
      </c>
      <c r="C202" s="7" t="n">
        <v>1</v>
      </c>
      <c r="D202" s="8" t="n">
        <f aca="false">C202-B202</f>
        <v>0</v>
      </c>
      <c r="E202" s="9" t="n">
        <f aca="false">IF(B202=0,0,(C202-B202)/B202)</f>
        <v>0</v>
      </c>
      <c r="F202" s="10" t="str">
        <f aca="false">IF(ABS(D202)&lt;0.0001,"OK",IF(ABS(E202)&lt;=0.02,"Mineur","Critique"))</f>
        <v>OK</v>
      </c>
      <c r="G202" s="5" t="str">
        <f aca="false">IF(F202="OK","Aucune",IF(F202="Mineur","Ajustement mineur","Correction urgente"))</f>
        <v>Aucune</v>
      </c>
    </row>
    <row r="203" customFormat="false" ht="15" hidden="false" customHeight="true" outlineLevel="0" collapsed="false">
      <c r="A203" s="5" t="s">
        <v>207</v>
      </c>
      <c r="B203" s="6" t="n">
        <v>1.0372</v>
      </c>
      <c r="C203" s="7" t="n">
        <v>1.0673</v>
      </c>
      <c r="D203" s="8" t="n">
        <f aca="false">C203-B203</f>
        <v>0.0301</v>
      </c>
      <c r="E203" s="9" t="n">
        <f aca="false">IF(B203=0,0,(C203-B203)/B203)</f>
        <v>0.0290204396451986</v>
      </c>
      <c r="F203" s="10" t="str">
        <f aca="false">IF(ABS(D203)&lt;0.0001,"OK",IF(ABS(E203)&lt;=0.02,"Mineur","Critique"))</f>
        <v>Critique</v>
      </c>
      <c r="G203" s="5" t="str">
        <f aca="false">IF(F203="OK","Aucune",IF(F203="Mineur","Ajustement mineur","Correction urgente"))</f>
        <v>Correction urgente</v>
      </c>
    </row>
    <row r="204" customFormat="false" ht="15" hidden="false" customHeight="true" outlineLevel="0" collapsed="false">
      <c r="A204" s="5" t="s">
        <v>208</v>
      </c>
      <c r="B204" s="6" t="n">
        <v>1</v>
      </c>
      <c r="C204" s="7" t="n">
        <v>1.0608</v>
      </c>
      <c r="D204" s="8" t="n">
        <f aca="false">C204-B204</f>
        <v>0.0608</v>
      </c>
      <c r="E204" s="9" t="n">
        <f aca="false">IF(B204=0,0,(C204-B204)/B204)</f>
        <v>0.0608</v>
      </c>
      <c r="F204" s="10" t="str">
        <f aca="false">IF(ABS(D204)&lt;0.0001,"OK",IF(ABS(E204)&lt;=0.02,"Mineur","Critique"))</f>
        <v>Critique</v>
      </c>
      <c r="G204" s="5" t="str">
        <f aca="false">IF(F204="OK","Aucune",IF(F204="Mineur","Ajustement mineur","Correction urgente"))</f>
        <v>Correction urgente</v>
      </c>
    </row>
    <row r="205" customFormat="false" ht="15" hidden="false" customHeight="true" outlineLevel="0" collapsed="false">
      <c r="A205" s="5" t="s">
        <v>209</v>
      </c>
      <c r="B205" s="6" t="n">
        <v>0.977</v>
      </c>
      <c r="C205" s="7" t="n">
        <v>0.977</v>
      </c>
      <c r="D205" s="8" t="n">
        <f aca="false">C205-B205</f>
        <v>0</v>
      </c>
      <c r="E205" s="9" t="n">
        <f aca="false">IF(B205=0,0,(C205-B205)/B205)</f>
        <v>0</v>
      </c>
      <c r="F205" s="10" t="str">
        <f aca="false">IF(ABS(D205)&lt;0.0001,"OK",IF(ABS(E205)&lt;=0.02,"Mineur","Critique"))</f>
        <v>OK</v>
      </c>
      <c r="G205" s="5" t="str">
        <f aca="false">IF(F205="OK","Aucune",IF(F205="Mineur","Ajustement mineur","Correction urgente"))</f>
        <v>Aucune</v>
      </c>
    </row>
    <row r="206" customFormat="false" ht="15" hidden="false" customHeight="true" outlineLevel="0" collapsed="false">
      <c r="A206" s="5" t="s">
        <v>210</v>
      </c>
      <c r="B206" s="6" t="n">
        <v>1</v>
      </c>
      <c r="C206" s="7" t="n">
        <v>1</v>
      </c>
      <c r="D206" s="8" t="n">
        <f aca="false">C206-B206</f>
        <v>0</v>
      </c>
      <c r="E206" s="9" t="n">
        <f aca="false">IF(B206=0,0,(C206-B206)/B206)</f>
        <v>0</v>
      </c>
      <c r="F206" s="10" t="str">
        <f aca="false">IF(ABS(D206)&lt;0.0001,"OK",IF(ABS(E206)&lt;=0.02,"Mineur","Critique"))</f>
        <v>OK</v>
      </c>
      <c r="G206" s="5" t="str">
        <f aca="false">IF(F206="OK","Aucune",IF(F206="Mineur","Ajustement mineur","Correction urgente"))</f>
        <v>Aucune</v>
      </c>
    </row>
    <row r="207" customFormat="false" ht="15" hidden="false" customHeight="true" outlineLevel="0" collapsed="false">
      <c r="A207" s="5" t="s">
        <v>211</v>
      </c>
      <c r="B207" s="6" t="n">
        <v>1.1075</v>
      </c>
      <c r="C207" s="7" t="n">
        <v>1.1075</v>
      </c>
      <c r="D207" s="8" t="n">
        <f aca="false">C207-B207</f>
        <v>0</v>
      </c>
      <c r="E207" s="9" t="n">
        <f aca="false">IF(B207=0,0,(C207-B207)/B207)</f>
        <v>0</v>
      </c>
      <c r="F207" s="10" t="str">
        <f aca="false">IF(ABS(D207)&lt;0.0001,"OK",IF(ABS(E207)&lt;=0.02,"Mineur","Critique"))</f>
        <v>OK</v>
      </c>
      <c r="G207" s="5" t="str">
        <f aca="false">IF(F207="OK","Aucune",IF(F207="Mineur","Ajustement mineur","Correction urgente"))</f>
        <v>Aucune</v>
      </c>
    </row>
    <row r="208" customFormat="false" ht="15" hidden="false" customHeight="true" outlineLevel="0" collapsed="false">
      <c r="A208" s="5" t="s">
        <v>212</v>
      </c>
      <c r="B208" s="6" t="n">
        <v>1</v>
      </c>
      <c r="C208" s="7" t="n">
        <v>1</v>
      </c>
      <c r="D208" s="8" t="n">
        <f aca="false">C208-B208</f>
        <v>0</v>
      </c>
      <c r="E208" s="9" t="n">
        <f aca="false">IF(B208=0,0,(C208-B208)/B208)</f>
        <v>0</v>
      </c>
      <c r="F208" s="10" t="str">
        <f aca="false">IF(ABS(D208)&lt;0.0001,"OK",IF(ABS(E208)&lt;=0.02,"Mineur","Critique"))</f>
        <v>OK</v>
      </c>
      <c r="G208" s="5" t="str">
        <f aca="false">IF(F208="OK","Aucune",IF(F208="Mineur","Ajustement mineur","Correction urgente"))</f>
        <v>Aucune</v>
      </c>
    </row>
    <row r="209" customFormat="false" ht="15" hidden="false" customHeight="true" outlineLevel="0" collapsed="false">
      <c r="A209" s="5" t="s">
        <v>213</v>
      </c>
      <c r="B209" s="6" t="n">
        <v>1.0233</v>
      </c>
      <c r="C209" s="7" t="n">
        <v>1.0233</v>
      </c>
      <c r="D209" s="8" t="n">
        <f aca="false">C209-B209</f>
        <v>0</v>
      </c>
      <c r="E209" s="9" t="n">
        <f aca="false">IF(B209=0,0,(C209-B209)/B209)</f>
        <v>0</v>
      </c>
      <c r="F209" s="10" t="str">
        <f aca="false">IF(ABS(D209)&lt;0.0001,"OK",IF(ABS(E209)&lt;=0.02,"Mineur","Critique"))</f>
        <v>OK</v>
      </c>
      <c r="G209" s="5" t="str">
        <f aca="false">IF(F209="OK","Aucune",IF(F209="Mineur","Ajustement mineur","Correction urgente"))</f>
        <v>Aucune</v>
      </c>
    </row>
    <row r="210" customFormat="false" ht="15" hidden="false" customHeight="true" outlineLevel="0" collapsed="false">
      <c r="A210" s="5" t="s">
        <v>214</v>
      </c>
      <c r="B210" s="6" t="n">
        <v>1.1042</v>
      </c>
      <c r="C210" s="7" t="n">
        <v>1.1263</v>
      </c>
      <c r="D210" s="8" t="n">
        <f aca="false">C210-B210</f>
        <v>0.0221</v>
      </c>
      <c r="E210" s="9" t="n">
        <f aca="false">IF(B210=0,0,(C210-B210)/B210)</f>
        <v>0.0200144901285999</v>
      </c>
      <c r="F210" s="10" t="str">
        <f aca="false">IF(ABS(D210)&lt;0.0001,"OK",IF(ABS(E210)&lt;=0.02,"Mineur","Critique"))</f>
        <v>Critique</v>
      </c>
      <c r="G210" s="5" t="str">
        <f aca="false">IF(F210="OK","Aucune",IF(F210="Mineur","Ajustement mineur","Correction urgente"))</f>
        <v>Correction urgente</v>
      </c>
    </row>
    <row r="211" customFormat="false" ht="15" hidden="false" customHeight="true" outlineLevel="0" collapsed="false">
      <c r="A211" s="5" t="s">
        <v>215</v>
      </c>
      <c r="B211" s="6" t="n">
        <v>1</v>
      </c>
      <c r="C211" s="7" t="n">
        <v>1</v>
      </c>
      <c r="D211" s="8" t="n">
        <f aca="false">C211-B211</f>
        <v>0</v>
      </c>
      <c r="E211" s="9" t="n">
        <f aca="false">IF(B211=0,0,(C211-B211)/B211)</f>
        <v>0</v>
      </c>
      <c r="F211" s="10" t="str">
        <f aca="false">IF(ABS(D211)&lt;0.0001,"OK",IF(ABS(E211)&lt;=0.02,"Mineur","Critique"))</f>
        <v>OK</v>
      </c>
      <c r="G211" s="5" t="str">
        <f aca="false">IF(F211="OK","Aucune",IF(F211="Mineur","Ajustement mineur","Correction urgente"))</f>
        <v>Aucune</v>
      </c>
    </row>
    <row r="212" customFormat="false" ht="15" hidden="false" customHeight="true" outlineLevel="0" collapsed="false">
      <c r="A212" s="5" t="s">
        <v>216</v>
      </c>
      <c r="B212" s="6" t="n">
        <v>1</v>
      </c>
      <c r="C212" s="7" t="n">
        <v>1</v>
      </c>
      <c r="D212" s="8" t="n">
        <f aca="false">C212-B212</f>
        <v>0</v>
      </c>
      <c r="E212" s="9" t="n">
        <f aca="false">IF(B212=0,0,(C212-B212)/B212)</f>
        <v>0</v>
      </c>
      <c r="F212" s="10" t="str">
        <f aca="false">IF(ABS(D212)&lt;0.0001,"OK",IF(ABS(E212)&lt;=0.02,"Mineur","Critique"))</f>
        <v>OK</v>
      </c>
      <c r="G212" s="5" t="str">
        <f aca="false">IF(F212="OK","Aucune",IF(F212="Mineur","Ajustement mineur","Correction urgente"))</f>
        <v>Aucune</v>
      </c>
    </row>
    <row r="213" customFormat="false" ht="15" hidden="false" customHeight="true" outlineLevel="0" collapsed="false">
      <c r="A213" s="5" t="s">
        <v>217</v>
      </c>
      <c r="B213" s="6" t="n">
        <v>1.1166</v>
      </c>
      <c r="C213" s="7" t="n">
        <v>1.1166</v>
      </c>
      <c r="D213" s="8" t="n">
        <f aca="false">C213-B213</f>
        <v>0</v>
      </c>
      <c r="E213" s="9" t="n">
        <f aca="false">IF(B213=0,0,(C213-B213)/B213)</f>
        <v>0</v>
      </c>
      <c r="F213" s="10" t="str">
        <f aca="false">IF(ABS(D213)&lt;0.0001,"OK",IF(ABS(E213)&lt;=0.02,"Mineur","Critique"))</f>
        <v>OK</v>
      </c>
      <c r="G213" s="5" t="str">
        <f aca="false">IF(F213="OK","Aucune",IF(F213="Mineur","Ajustement mineur","Correction urgente"))</f>
        <v>Aucune</v>
      </c>
    </row>
    <row r="214" customFormat="false" ht="15" hidden="false" customHeight="true" outlineLevel="0" collapsed="false">
      <c r="A214" s="5" t="s">
        <v>218</v>
      </c>
      <c r="B214" s="6" t="n">
        <v>1</v>
      </c>
      <c r="C214" s="7" t="n">
        <v>1</v>
      </c>
      <c r="D214" s="8" t="n">
        <f aca="false">C214-B214</f>
        <v>0</v>
      </c>
      <c r="E214" s="9" t="n">
        <f aca="false">IF(B214=0,0,(C214-B214)/B214)</f>
        <v>0</v>
      </c>
      <c r="F214" s="10" t="str">
        <f aca="false">IF(ABS(D214)&lt;0.0001,"OK",IF(ABS(E214)&lt;=0.02,"Mineur","Critique"))</f>
        <v>OK</v>
      </c>
      <c r="G214" s="5" t="str">
        <f aca="false">IF(F214="OK","Aucune",IF(F214="Mineur","Ajustement mineur","Correction urgente"))</f>
        <v>Aucune</v>
      </c>
    </row>
    <row r="215" customFormat="false" ht="15" hidden="false" customHeight="true" outlineLevel="0" collapsed="false">
      <c r="A215" s="5" t="s">
        <v>219</v>
      </c>
      <c r="B215" s="6" t="n">
        <v>1</v>
      </c>
      <c r="C215" s="7" t="n">
        <v>1</v>
      </c>
      <c r="D215" s="8" t="n">
        <f aca="false">C215-B215</f>
        <v>0</v>
      </c>
      <c r="E215" s="9" t="n">
        <f aca="false">IF(B215=0,0,(C215-B215)/B215)</f>
        <v>0</v>
      </c>
      <c r="F215" s="10" t="str">
        <f aca="false">IF(ABS(D215)&lt;0.0001,"OK",IF(ABS(E215)&lt;=0.02,"Mineur","Critique"))</f>
        <v>OK</v>
      </c>
      <c r="G215" s="5" t="str">
        <f aca="false">IF(F215="OK","Aucune",IF(F215="Mineur","Ajustement mineur","Correction urgente"))</f>
        <v>Aucune</v>
      </c>
    </row>
    <row r="216" customFormat="false" ht="15" hidden="false" customHeight="true" outlineLevel="0" collapsed="false">
      <c r="A216" s="5" t="s">
        <v>220</v>
      </c>
      <c r="B216" s="6" t="n">
        <v>0.9296</v>
      </c>
      <c r="C216" s="7" t="n">
        <v>0.9296</v>
      </c>
      <c r="D216" s="8" t="n">
        <f aca="false">C216-B216</f>
        <v>0</v>
      </c>
      <c r="E216" s="9" t="n">
        <f aca="false">IF(B216=0,0,(C216-B216)/B216)</f>
        <v>0</v>
      </c>
      <c r="F216" s="10" t="str">
        <f aca="false">IF(ABS(D216)&lt;0.0001,"OK",IF(ABS(E216)&lt;=0.02,"Mineur","Critique"))</f>
        <v>OK</v>
      </c>
      <c r="G216" s="5" t="str">
        <f aca="false">IF(F216="OK","Aucune",IF(F216="Mineur","Ajustement mineur","Correction urgente"))</f>
        <v>Aucune</v>
      </c>
    </row>
    <row r="217" customFormat="false" ht="15" hidden="false" customHeight="true" outlineLevel="0" collapsed="false">
      <c r="A217" s="5" t="s">
        <v>221</v>
      </c>
      <c r="B217" s="6" t="n">
        <v>0.9048</v>
      </c>
      <c r="C217" s="7" t="n">
        <v>0.8878</v>
      </c>
      <c r="D217" s="8" t="n">
        <f aca="false">C217-B217</f>
        <v>-0.017</v>
      </c>
      <c r="E217" s="9" t="n">
        <f aca="false">IF(B217=0,0,(C217-B217)/B217)</f>
        <v>-0.018788682581786</v>
      </c>
      <c r="F217" s="10" t="str">
        <f aca="false">IF(ABS(D217)&lt;0.0001,"OK",IF(ABS(E217)&lt;=0.02,"Mineur","Critique"))</f>
        <v>Mineur</v>
      </c>
      <c r="G217" s="5" t="str">
        <f aca="false">IF(F217="OK","Aucune",IF(F217="Mineur","Ajustement mineur","Correction urgente"))</f>
        <v>Ajustement mineur</v>
      </c>
    </row>
    <row r="218" customFormat="false" ht="15" hidden="false" customHeight="true" outlineLevel="0" collapsed="false">
      <c r="A218" s="5" t="s">
        <v>222</v>
      </c>
      <c r="B218" s="6" t="n">
        <v>0.904</v>
      </c>
      <c r="C218" s="7" t="n">
        <v>0.9472</v>
      </c>
      <c r="D218" s="8" t="n">
        <f aca="false">C218-B218</f>
        <v>0.0432</v>
      </c>
      <c r="E218" s="9" t="n">
        <f aca="false">IF(B218=0,0,(C218-B218)/B218)</f>
        <v>0.047787610619469</v>
      </c>
      <c r="F218" s="10" t="str">
        <f aca="false">IF(ABS(D218)&lt;0.0001,"OK",IF(ABS(E218)&lt;=0.02,"Mineur","Critique"))</f>
        <v>Critique</v>
      </c>
      <c r="G218" s="5" t="str">
        <f aca="false">IF(F218="OK","Aucune",IF(F218="Mineur","Ajustement mineur","Correction urgente"))</f>
        <v>Correction urgente</v>
      </c>
    </row>
    <row r="219" customFormat="false" ht="15" hidden="false" customHeight="true" outlineLevel="0" collapsed="false">
      <c r="A219" s="5" t="s">
        <v>223</v>
      </c>
      <c r="B219" s="6" t="n">
        <v>0.965</v>
      </c>
      <c r="C219" s="7" t="n">
        <v>0.9861</v>
      </c>
      <c r="D219" s="8" t="n">
        <f aca="false">C219-B219</f>
        <v>0.0211</v>
      </c>
      <c r="E219" s="9" t="n">
        <f aca="false">IF(B219=0,0,(C219-B219)/B219)</f>
        <v>0.0218652849740933</v>
      </c>
      <c r="F219" s="10" t="str">
        <f aca="false">IF(ABS(D219)&lt;0.0001,"OK",IF(ABS(E219)&lt;=0.02,"Mineur","Critique"))</f>
        <v>Critique</v>
      </c>
      <c r="G219" s="5" t="str">
        <f aca="false">IF(F219="OK","Aucune",IF(F219="Mineur","Ajustement mineur","Correction urgente"))</f>
        <v>Correction urgente</v>
      </c>
    </row>
    <row r="220" customFormat="false" ht="15" hidden="false" customHeight="true" outlineLevel="0" collapsed="false">
      <c r="A220" s="5" t="s">
        <v>224</v>
      </c>
      <c r="B220" s="6" t="n">
        <v>0.9432</v>
      </c>
      <c r="C220" s="7" t="n">
        <v>0.9432</v>
      </c>
      <c r="D220" s="8" t="n">
        <f aca="false">C220-B220</f>
        <v>0</v>
      </c>
      <c r="E220" s="9" t="n">
        <f aca="false">IF(B220=0,0,(C220-B220)/B220)</f>
        <v>0</v>
      </c>
      <c r="F220" s="10" t="str">
        <f aca="false">IF(ABS(D220)&lt;0.0001,"OK",IF(ABS(E220)&lt;=0.02,"Mineur","Critique"))</f>
        <v>OK</v>
      </c>
      <c r="G220" s="5" t="str">
        <f aca="false">IF(F220="OK","Aucune",IF(F220="Mineur","Ajustement mineur","Correction urgente"))</f>
        <v>Aucune</v>
      </c>
    </row>
    <row r="221" customFormat="false" ht="15" hidden="false" customHeight="true" outlineLevel="0" collapsed="false">
      <c r="A221" s="5" t="s">
        <v>225</v>
      </c>
      <c r="B221" s="6" t="n">
        <v>0.9021</v>
      </c>
      <c r="C221" s="7" t="n">
        <v>0.9021</v>
      </c>
      <c r="D221" s="8" t="n">
        <f aca="false">C221-B221</f>
        <v>0</v>
      </c>
      <c r="E221" s="9" t="n">
        <f aca="false">IF(B221=0,0,(C221-B221)/B221)</f>
        <v>0</v>
      </c>
      <c r="F221" s="10" t="str">
        <f aca="false">IF(ABS(D221)&lt;0.0001,"OK",IF(ABS(E221)&lt;=0.02,"Mineur","Critique"))</f>
        <v>OK</v>
      </c>
      <c r="G221" s="5" t="str">
        <f aca="false">IF(F221="OK","Aucune",IF(F221="Mineur","Ajustement mineur","Correction urgente"))</f>
        <v>Aucune</v>
      </c>
    </row>
    <row r="222" customFormat="false" ht="15" hidden="false" customHeight="true" outlineLevel="0" collapsed="false">
      <c r="A222" s="5" t="s">
        <v>226</v>
      </c>
      <c r="B222" s="6" t="n">
        <v>0.9013</v>
      </c>
      <c r="C222" s="7" t="n">
        <v>0.9013</v>
      </c>
      <c r="D222" s="8" t="n">
        <f aca="false">C222-B222</f>
        <v>0</v>
      </c>
      <c r="E222" s="9" t="n">
        <f aca="false">IF(B222=0,0,(C222-B222)/B222)</f>
        <v>0</v>
      </c>
      <c r="F222" s="10" t="str">
        <f aca="false">IF(ABS(D222)&lt;0.0001,"OK",IF(ABS(E222)&lt;=0.02,"Mineur","Critique"))</f>
        <v>OK</v>
      </c>
      <c r="G222" s="5" t="str">
        <f aca="false">IF(F222="OK","Aucune",IF(F222="Mineur","Ajustement mineur","Correction urgente"))</f>
        <v>Aucune</v>
      </c>
    </row>
    <row r="223" customFormat="false" ht="15" hidden="false" customHeight="true" outlineLevel="0" collapsed="false">
      <c r="A223" s="5" t="s">
        <v>227</v>
      </c>
      <c r="B223" s="6" t="n">
        <v>1</v>
      </c>
      <c r="C223" s="7" t="n">
        <v>1</v>
      </c>
      <c r="D223" s="8" t="n">
        <f aca="false">C223-B223</f>
        <v>0</v>
      </c>
      <c r="E223" s="9" t="n">
        <f aca="false">IF(B223=0,0,(C223-B223)/B223)</f>
        <v>0</v>
      </c>
      <c r="F223" s="10" t="str">
        <f aca="false">IF(ABS(D223)&lt;0.0001,"OK",IF(ABS(E223)&lt;=0.02,"Mineur","Critique"))</f>
        <v>OK</v>
      </c>
      <c r="G223" s="5" t="str">
        <f aca="false">IF(F223="OK","Aucune",IF(F223="Mineur","Ajustement mineur","Correction urgente"))</f>
        <v>Aucune</v>
      </c>
    </row>
    <row r="224" customFormat="false" ht="15" hidden="false" customHeight="true" outlineLevel="0" collapsed="false">
      <c r="A224" s="5" t="s">
        <v>228</v>
      </c>
      <c r="B224" s="6" t="n">
        <v>1</v>
      </c>
      <c r="C224" s="7" t="n">
        <v>1</v>
      </c>
      <c r="D224" s="8" t="n">
        <f aca="false">C224-B224</f>
        <v>0</v>
      </c>
      <c r="E224" s="9" t="n">
        <f aca="false">IF(B224=0,0,(C224-B224)/B224)</f>
        <v>0</v>
      </c>
      <c r="F224" s="10" t="str">
        <f aca="false">IF(ABS(D224)&lt;0.0001,"OK",IF(ABS(E224)&lt;=0.02,"Mineur","Critique"))</f>
        <v>OK</v>
      </c>
      <c r="G224" s="5" t="str">
        <f aca="false">IF(F224="OK","Aucune",IF(F224="Mineur","Ajustement mineur","Correction urgente"))</f>
        <v>Aucune</v>
      </c>
    </row>
    <row r="225" customFormat="false" ht="15" hidden="false" customHeight="true" outlineLevel="0" collapsed="false">
      <c r="A225" s="5" t="s">
        <v>229</v>
      </c>
      <c r="B225" s="6" t="n">
        <v>1.0256</v>
      </c>
      <c r="C225" s="7" t="n">
        <v>1.0256</v>
      </c>
      <c r="D225" s="8" t="n">
        <f aca="false">C225-B225</f>
        <v>0</v>
      </c>
      <c r="E225" s="9" t="n">
        <f aca="false">IF(B225=0,0,(C225-B225)/B225)</f>
        <v>0</v>
      </c>
      <c r="F225" s="10" t="str">
        <f aca="false">IF(ABS(D225)&lt;0.0001,"OK",IF(ABS(E225)&lt;=0.02,"Mineur","Critique"))</f>
        <v>OK</v>
      </c>
      <c r="G225" s="5" t="str">
        <f aca="false">IF(F225="OK","Aucune",IF(F225="Mineur","Ajustement mineur","Correction urgente"))</f>
        <v>Aucune</v>
      </c>
    </row>
    <row r="226" customFormat="false" ht="15" hidden="false" customHeight="true" outlineLevel="0" collapsed="false">
      <c r="A226" s="5" t="s">
        <v>230</v>
      </c>
      <c r="B226" s="6" t="n">
        <v>0.9366</v>
      </c>
      <c r="C226" s="7" t="n">
        <v>0.8582</v>
      </c>
      <c r="D226" s="8" t="n">
        <f aca="false">C226-B226</f>
        <v>-0.0784</v>
      </c>
      <c r="E226" s="9" t="n">
        <f aca="false">IF(B226=0,0,(C226-B226)/B226)</f>
        <v>-0.0837070254110613</v>
      </c>
      <c r="F226" s="10" t="str">
        <f aca="false">IF(ABS(D226)&lt;0.0001,"OK",IF(ABS(E226)&lt;=0.02,"Mineur","Critique"))</f>
        <v>Critique</v>
      </c>
      <c r="G226" s="5" t="str">
        <f aca="false">IF(F226="OK","Aucune",IF(F226="Mineur","Ajustement mineur","Correction urgente"))</f>
        <v>Correction urgente</v>
      </c>
    </row>
    <row r="227" customFormat="false" ht="15" hidden="false" customHeight="true" outlineLevel="0" collapsed="false">
      <c r="A227" s="5" t="s">
        <v>231</v>
      </c>
      <c r="B227" s="6" t="n">
        <v>1.0305</v>
      </c>
      <c r="C227" s="7" t="n">
        <v>1.0305</v>
      </c>
      <c r="D227" s="8" t="n">
        <f aca="false">C227-B227</f>
        <v>0</v>
      </c>
      <c r="E227" s="9" t="n">
        <f aca="false">IF(B227=0,0,(C227-B227)/B227)</f>
        <v>0</v>
      </c>
      <c r="F227" s="10" t="str">
        <f aca="false">IF(ABS(D227)&lt;0.0001,"OK",IF(ABS(E227)&lt;=0.02,"Mineur","Critique"))</f>
        <v>OK</v>
      </c>
      <c r="G227" s="5" t="str">
        <f aca="false">IF(F227="OK","Aucune",IF(F227="Mineur","Ajustement mineur","Correction urgente"))</f>
        <v>Aucune</v>
      </c>
    </row>
    <row r="228" customFormat="false" ht="15" hidden="false" customHeight="true" outlineLevel="0" collapsed="false">
      <c r="A228" s="5" t="s">
        <v>232</v>
      </c>
      <c r="B228" s="6" t="n">
        <v>1.1012</v>
      </c>
      <c r="C228" s="7" t="n">
        <v>1.1012</v>
      </c>
      <c r="D228" s="8" t="n">
        <f aca="false">C228-B228</f>
        <v>0</v>
      </c>
      <c r="E228" s="9" t="n">
        <f aca="false">IF(B228=0,0,(C228-B228)/B228)</f>
        <v>0</v>
      </c>
      <c r="F228" s="10" t="str">
        <f aca="false">IF(ABS(D228)&lt;0.0001,"OK",IF(ABS(E228)&lt;=0.02,"Mineur","Critique"))</f>
        <v>OK</v>
      </c>
      <c r="G228" s="5" t="str">
        <f aca="false">IF(F228="OK","Aucune",IF(F228="Mineur","Ajustement mineur","Correction urgente"))</f>
        <v>Aucune</v>
      </c>
    </row>
    <row r="229" customFormat="false" ht="15" hidden="false" customHeight="true" outlineLevel="0" collapsed="false">
      <c r="A229" s="5" t="s">
        <v>233</v>
      </c>
      <c r="B229" s="6" t="n">
        <v>1.1493</v>
      </c>
      <c r="C229" s="7" t="n">
        <v>1.1493</v>
      </c>
      <c r="D229" s="8" t="n">
        <f aca="false">C229-B229</f>
        <v>0</v>
      </c>
      <c r="E229" s="9" t="n">
        <f aca="false">IF(B229=0,0,(C229-B229)/B229)</f>
        <v>0</v>
      </c>
      <c r="F229" s="10" t="str">
        <f aca="false">IF(ABS(D229)&lt;0.0001,"OK",IF(ABS(E229)&lt;=0.02,"Mineur","Critique"))</f>
        <v>OK</v>
      </c>
      <c r="G229" s="5" t="str">
        <f aca="false">IF(F229="OK","Aucune",IF(F229="Mineur","Ajustement mineur","Correction urgente"))</f>
        <v>Aucune</v>
      </c>
    </row>
    <row r="230" customFormat="false" ht="15" hidden="false" customHeight="true" outlineLevel="0" collapsed="false">
      <c r="A230" s="5" t="s">
        <v>234</v>
      </c>
      <c r="B230" s="6" t="n">
        <v>1.0759</v>
      </c>
      <c r="C230" s="7" t="n">
        <v>1.0759</v>
      </c>
      <c r="D230" s="8" t="n">
        <f aca="false">C230-B230</f>
        <v>0</v>
      </c>
      <c r="E230" s="9" t="n">
        <f aca="false">IF(B230=0,0,(C230-B230)/B230)</f>
        <v>0</v>
      </c>
      <c r="F230" s="10" t="str">
        <f aca="false">IF(ABS(D230)&lt;0.0001,"OK",IF(ABS(E230)&lt;=0.02,"Mineur","Critique"))</f>
        <v>OK</v>
      </c>
      <c r="G230" s="5" t="str">
        <f aca="false">IF(F230="OK","Aucune",IF(F230="Mineur","Ajustement mineur","Correction urgente"))</f>
        <v>Aucune</v>
      </c>
    </row>
    <row r="231" customFormat="false" ht="15" hidden="false" customHeight="true" outlineLevel="0" collapsed="false">
      <c r="A231" s="5" t="s">
        <v>235</v>
      </c>
      <c r="B231" s="6" t="n">
        <v>1.1341</v>
      </c>
      <c r="C231" s="7" t="n">
        <v>1.1341</v>
      </c>
      <c r="D231" s="8" t="n">
        <f aca="false">C231-B231</f>
        <v>0</v>
      </c>
      <c r="E231" s="9" t="n">
        <f aca="false">IF(B231=0,0,(C231-B231)/B231)</f>
        <v>0</v>
      </c>
      <c r="F231" s="10" t="str">
        <f aca="false">IF(ABS(D231)&lt;0.0001,"OK",IF(ABS(E231)&lt;=0.02,"Mineur","Critique"))</f>
        <v>OK</v>
      </c>
      <c r="G231" s="5" t="str">
        <f aca="false">IF(F231="OK","Aucune",IF(F231="Mineur","Ajustement mineur","Correction urgente"))</f>
        <v>Aucune</v>
      </c>
    </row>
    <row r="232" customFormat="false" ht="15" hidden="false" customHeight="true" outlineLevel="0" collapsed="false">
      <c r="A232" s="5" t="s">
        <v>236</v>
      </c>
      <c r="B232" s="6" t="n">
        <v>0.9172</v>
      </c>
      <c r="C232" s="7" t="n">
        <v>0.9172</v>
      </c>
      <c r="D232" s="8" t="n">
        <f aca="false">C232-B232</f>
        <v>0</v>
      </c>
      <c r="E232" s="9" t="n">
        <f aca="false">IF(B232=0,0,(C232-B232)/B232)</f>
        <v>0</v>
      </c>
      <c r="F232" s="10" t="str">
        <f aca="false">IF(ABS(D232)&lt;0.0001,"OK",IF(ABS(E232)&lt;=0.02,"Mineur","Critique"))</f>
        <v>OK</v>
      </c>
      <c r="G232" s="5" t="str">
        <f aca="false">IF(F232="OK","Aucune",IF(F232="Mineur","Ajustement mineur","Correction urgente"))</f>
        <v>Aucune</v>
      </c>
    </row>
    <row r="233" customFormat="false" ht="15" hidden="false" customHeight="true" outlineLevel="0" collapsed="false">
      <c r="A233" s="5" t="s">
        <v>237</v>
      </c>
      <c r="B233" s="6" t="n">
        <v>1.0718</v>
      </c>
      <c r="C233" s="7" t="n">
        <v>1.0718</v>
      </c>
      <c r="D233" s="8" t="n">
        <f aca="false">C233-B233</f>
        <v>0</v>
      </c>
      <c r="E233" s="9" t="n">
        <f aca="false">IF(B233=0,0,(C233-B233)/B233)</f>
        <v>0</v>
      </c>
      <c r="F233" s="10" t="str">
        <f aca="false">IF(ABS(D233)&lt;0.0001,"OK",IF(ABS(E233)&lt;=0.02,"Mineur","Critique"))</f>
        <v>OK</v>
      </c>
      <c r="G233" s="5" t="str">
        <f aca="false">IF(F233="OK","Aucune",IF(F233="Mineur","Ajustement mineur","Correction urgente"))</f>
        <v>Aucune</v>
      </c>
    </row>
    <row r="234" customFormat="false" ht="15" hidden="false" customHeight="true" outlineLevel="0" collapsed="false">
      <c r="A234" s="5" t="s">
        <v>238</v>
      </c>
      <c r="B234" s="6" t="n">
        <v>1</v>
      </c>
      <c r="C234" s="7" t="n">
        <v>0.9775</v>
      </c>
      <c r="D234" s="8" t="n">
        <f aca="false">C234-B234</f>
        <v>-0.0225</v>
      </c>
      <c r="E234" s="9" t="n">
        <f aca="false">IF(B234=0,0,(C234-B234)/B234)</f>
        <v>-0.0225</v>
      </c>
      <c r="F234" s="10" t="str">
        <f aca="false">IF(ABS(D234)&lt;0.0001,"OK",IF(ABS(E234)&lt;=0.02,"Mineur","Critique"))</f>
        <v>Critique</v>
      </c>
      <c r="G234" s="5" t="str">
        <f aca="false">IF(F234="OK","Aucune",IF(F234="Mineur","Ajustement mineur","Correction urgente"))</f>
        <v>Correction urgente</v>
      </c>
    </row>
    <row r="235" customFormat="false" ht="15" hidden="false" customHeight="true" outlineLevel="0" collapsed="false">
      <c r="A235" s="5" t="s">
        <v>239</v>
      </c>
      <c r="B235" s="6" t="n">
        <v>1.0326</v>
      </c>
      <c r="C235" s="7" t="n">
        <v>1.0326</v>
      </c>
      <c r="D235" s="8" t="n">
        <f aca="false">C235-B235</f>
        <v>0</v>
      </c>
      <c r="E235" s="9" t="n">
        <f aca="false">IF(B235=0,0,(C235-B235)/B235)</f>
        <v>0</v>
      </c>
      <c r="F235" s="10" t="str">
        <f aca="false">IF(ABS(D235)&lt;0.0001,"OK",IF(ABS(E235)&lt;=0.02,"Mineur","Critique"))</f>
        <v>OK</v>
      </c>
      <c r="G235" s="5" t="str">
        <f aca="false">IF(F235="OK","Aucune",IF(F235="Mineur","Ajustement mineur","Correction urgente"))</f>
        <v>Aucune</v>
      </c>
    </row>
    <row r="236" customFormat="false" ht="15" hidden="false" customHeight="true" outlineLevel="0" collapsed="false">
      <c r="A236" s="5" t="s">
        <v>240</v>
      </c>
      <c r="B236" s="6" t="n">
        <v>1.0278</v>
      </c>
      <c r="C236" s="7" t="n">
        <v>1.0278</v>
      </c>
      <c r="D236" s="8" t="n">
        <f aca="false">C236-B236</f>
        <v>0</v>
      </c>
      <c r="E236" s="9" t="n">
        <f aca="false">IF(B236=0,0,(C236-B236)/B236)</f>
        <v>0</v>
      </c>
      <c r="F236" s="10" t="str">
        <f aca="false">IF(ABS(D236)&lt;0.0001,"OK",IF(ABS(E236)&lt;=0.02,"Mineur","Critique"))</f>
        <v>OK</v>
      </c>
      <c r="G236" s="5" t="str">
        <f aca="false">IF(F236="OK","Aucune",IF(F236="Mineur","Ajustement mineur","Correction urgente"))</f>
        <v>Aucune</v>
      </c>
    </row>
    <row r="237" customFormat="false" ht="15" hidden="false" customHeight="true" outlineLevel="0" collapsed="false">
      <c r="A237" s="5" t="s">
        <v>241</v>
      </c>
      <c r="B237" s="6" t="n">
        <v>1.0734</v>
      </c>
      <c r="C237" s="7" t="n">
        <v>1.0734</v>
      </c>
      <c r="D237" s="8" t="n">
        <f aca="false">C237-B237</f>
        <v>0</v>
      </c>
      <c r="E237" s="9" t="n">
        <f aca="false">IF(B237=0,0,(C237-B237)/B237)</f>
        <v>0</v>
      </c>
      <c r="F237" s="10" t="str">
        <f aca="false">IF(ABS(D237)&lt;0.0001,"OK",IF(ABS(E237)&lt;=0.02,"Mineur","Critique"))</f>
        <v>OK</v>
      </c>
      <c r="G237" s="5" t="str">
        <f aca="false">IF(F237="OK","Aucune",IF(F237="Mineur","Ajustement mineur","Correction urgente"))</f>
        <v>Aucune</v>
      </c>
    </row>
    <row r="238" customFormat="false" ht="15" hidden="false" customHeight="true" outlineLevel="0" collapsed="false">
      <c r="A238" s="5" t="s">
        <v>242</v>
      </c>
      <c r="B238" s="6" t="n">
        <v>1.0657</v>
      </c>
      <c r="C238" s="7" t="n">
        <v>1.0657</v>
      </c>
      <c r="D238" s="8" t="n">
        <f aca="false">C238-B238</f>
        <v>0</v>
      </c>
      <c r="E238" s="9" t="n">
        <f aca="false">IF(B238=0,0,(C238-B238)/B238)</f>
        <v>0</v>
      </c>
      <c r="F238" s="10" t="str">
        <f aca="false">IF(ABS(D238)&lt;0.0001,"OK",IF(ABS(E238)&lt;=0.02,"Mineur","Critique"))</f>
        <v>OK</v>
      </c>
      <c r="G238" s="5" t="str">
        <f aca="false">IF(F238="OK","Aucune",IF(F238="Mineur","Ajustement mineur","Correction urgente"))</f>
        <v>Aucune</v>
      </c>
    </row>
    <row r="239" customFormat="false" ht="15" hidden="false" customHeight="true" outlineLevel="0" collapsed="false">
      <c r="A239" s="5" t="s">
        <v>243</v>
      </c>
      <c r="B239" s="6" t="n">
        <v>0.9124</v>
      </c>
      <c r="C239" s="7" t="n">
        <v>0.9124</v>
      </c>
      <c r="D239" s="8" t="n">
        <f aca="false">C239-B239</f>
        <v>0</v>
      </c>
      <c r="E239" s="9" t="n">
        <f aca="false">IF(B239=0,0,(C239-B239)/B239)</f>
        <v>0</v>
      </c>
      <c r="F239" s="10" t="str">
        <f aca="false">IF(ABS(D239)&lt;0.0001,"OK",IF(ABS(E239)&lt;=0.02,"Mineur","Critique"))</f>
        <v>OK</v>
      </c>
      <c r="G239" s="5" t="str">
        <f aca="false">IF(F239="OK","Aucune",IF(F239="Mineur","Ajustement mineur","Correction urgente"))</f>
        <v>Aucune</v>
      </c>
    </row>
    <row r="240" customFormat="false" ht="15" hidden="false" customHeight="true" outlineLevel="0" collapsed="false">
      <c r="A240" s="5" t="s">
        <v>244</v>
      </c>
      <c r="B240" s="6" t="n">
        <v>1</v>
      </c>
      <c r="C240" s="7" t="n">
        <v>1</v>
      </c>
      <c r="D240" s="8" t="n">
        <f aca="false">C240-B240</f>
        <v>0</v>
      </c>
      <c r="E240" s="9" t="n">
        <f aca="false">IF(B240=0,0,(C240-B240)/B240)</f>
        <v>0</v>
      </c>
      <c r="F240" s="10" t="str">
        <f aca="false">IF(ABS(D240)&lt;0.0001,"OK",IF(ABS(E240)&lt;=0.02,"Mineur","Critique"))</f>
        <v>OK</v>
      </c>
      <c r="G240" s="5" t="str">
        <f aca="false">IF(F240="OK","Aucune",IF(F240="Mineur","Ajustement mineur","Correction urgente"))</f>
        <v>Aucune</v>
      </c>
    </row>
    <row r="241" customFormat="false" ht="15" hidden="false" customHeight="true" outlineLevel="0" collapsed="false">
      <c r="A241" s="5" t="s">
        <v>245</v>
      </c>
      <c r="B241" s="6" t="n">
        <v>1.1299</v>
      </c>
      <c r="C241" s="7" t="n">
        <v>1.1299</v>
      </c>
      <c r="D241" s="8" t="n">
        <f aca="false">C241-B241</f>
        <v>0</v>
      </c>
      <c r="E241" s="9" t="n">
        <f aca="false">IF(B241=0,0,(C241-B241)/B241)</f>
        <v>0</v>
      </c>
      <c r="F241" s="10" t="str">
        <f aca="false">IF(ABS(D241)&lt;0.0001,"OK",IF(ABS(E241)&lt;=0.02,"Mineur","Critique"))</f>
        <v>OK</v>
      </c>
      <c r="G241" s="5" t="str">
        <f aca="false">IF(F241="OK","Aucune",IF(F241="Mineur","Ajustement mineur","Correction urgente"))</f>
        <v>Aucune</v>
      </c>
    </row>
    <row r="242" customFormat="false" ht="15" hidden="false" customHeight="true" outlineLevel="0" collapsed="false">
      <c r="A242" s="5" t="s">
        <v>246</v>
      </c>
      <c r="B242" s="6" t="n">
        <v>1.0234</v>
      </c>
      <c r="C242" s="7" t="n">
        <v>1.0234</v>
      </c>
      <c r="D242" s="8" t="n">
        <f aca="false">C242-B242</f>
        <v>0</v>
      </c>
      <c r="E242" s="9" t="n">
        <f aca="false">IF(B242=0,0,(C242-B242)/B242)</f>
        <v>0</v>
      </c>
      <c r="F242" s="10" t="str">
        <f aca="false">IF(ABS(D242)&lt;0.0001,"OK",IF(ABS(E242)&lt;=0.02,"Mineur","Critique"))</f>
        <v>OK</v>
      </c>
      <c r="G242" s="5" t="str">
        <f aca="false">IF(F242="OK","Aucune",IF(F242="Mineur","Ajustement mineur","Correction urgente"))</f>
        <v>Aucune</v>
      </c>
    </row>
    <row r="243" customFormat="false" ht="15" hidden="false" customHeight="true" outlineLevel="0" collapsed="false">
      <c r="A243" s="5" t="s">
        <v>247</v>
      </c>
      <c r="B243" s="6" t="n">
        <v>0.9737</v>
      </c>
      <c r="C243" s="7" t="n">
        <v>0.9464</v>
      </c>
      <c r="D243" s="8" t="n">
        <f aca="false">C243-B243</f>
        <v>-0.0273</v>
      </c>
      <c r="E243" s="9" t="n">
        <f aca="false">IF(B243=0,0,(C243-B243)/B243)</f>
        <v>-0.0280373831775701</v>
      </c>
      <c r="F243" s="10" t="str">
        <f aca="false">IF(ABS(D243)&lt;0.0001,"OK",IF(ABS(E243)&lt;=0.02,"Mineur","Critique"))</f>
        <v>Critique</v>
      </c>
      <c r="G243" s="5" t="str">
        <f aca="false">IF(F243="OK","Aucune",IF(F243="Mineur","Ajustement mineur","Correction urgente"))</f>
        <v>Correction urgente</v>
      </c>
    </row>
    <row r="244" customFormat="false" ht="15" hidden="false" customHeight="true" outlineLevel="0" collapsed="false">
      <c r="A244" s="5" t="s">
        <v>248</v>
      </c>
      <c r="B244" s="6" t="n">
        <v>1</v>
      </c>
      <c r="C244" s="7" t="n">
        <v>1</v>
      </c>
      <c r="D244" s="8" t="n">
        <f aca="false">C244-B244</f>
        <v>0</v>
      </c>
      <c r="E244" s="9" t="n">
        <f aca="false">IF(B244=0,0,(C244-B244)/B244)</f>
        <v>0</v>
      </c>
      <c r="F244" s="10" t="str">
        <f aca="false">IF(ABS(D244)&lt;0.0001,"OK",IF(ABS(E244)&lt;=0.02,"Mineur","Critique"))</f>
        <v>OK</v>
      </c>
      <c r="G244" s="5" t="str">
        <f aca="false">IF(F244="OK","Aucune",IF(F244="Mineur","Ajustement mineur","Correction urgente"))</f>
        <v>Aucune</v>
      </c>
    </row>
    <row r="245" customFormat="false" ht="15" hidden="false" customHeight="true" outlineLevel="0" collapsed="false">
      <c r="A245" s="5" t="s">
        <v>249</v>
      </c>
      <c r="B245" s="6" t="n">
        <v>1.0681</v>
      </c>
      <c r="C245" s="7" t="n">
        <v>1.0681</v>
      </c>
      <c r="D245" s="8" t="n">
        <f aca="false">C245-B245</f>
        <v>0</v>
      </c>
      <c r="E245" s="9" t="n">
        <f aca="false">IF(B245=0,0,(C245-B245)/B245)</f>
        <v>0</v>
      </c>
      <c r="F245" s="10" t="str">
        <f aca="false">IF(ABS(D245)&lt;0.0001,"OK",IF(ABS(E245)&lt;=0.02,"Mineur","Critique"))</f>
        <v>OK</v>
      </c>
      <c r="G245" s="5" t="str">
        <f aca="false">IF(F245="OK","Aucune",IF(F245="Mineur","Ajustement mineur","Correction urgente"))</f>
        <v>Aucune</v>
      </c>
    </row>
    <row r="246" customFormat="false" ht="15" hidden="false" customHeight="true" outlineLevel="0" collapsed="false">
      <c r="A246" s="5" t="s">
        <v>250</v>
      </c>
      <c r="B246" s="6" t="n">
        <v>0.9753</v>
      </c>
      <c r="C246" s="7" t="n">
        <v>0.9753</v>
      </c>
      <c r="D246" s="8" t="n">
        <f aca="false">C246-B246</f>
        <v>0</v>
      </c>
      <c r="E246" s="9" t="n">
        <f aca="false">IF(B246=0,0,(C246-B246)/B246)</f>
        <v>0</v>
      </c>
      <c r="F246" s="10" t="str">
        <f aca="false">IF(ABS(D246)&lt;0.0001,"OK",IF(ABS(E246)&lt;=0.02,"Mineur","Critique"))</f>
        <v>OK</v>
      </c>
      <c r="G246" s="5" t="str">
        <f aca="false">IF(F246="OK","Aucune",IF(F246="Mineur","Ajustement mineur","Correction urgente"))</f>
        <v>Aucune</v>
      </c>
    </row>
    <row r="247" customFormat="false" ht="15" hidden="false" customHeight="true" outlineLevel="0" collapsed="false">
      <c r="A247" s="5" t="s">
        <v>251</v>
      </c>
      <c r="B247" s="6" t="n">
        <v>0.9604</v>
      </c>
      <c r="C247" s="7" t="n">
        <v>0.9604</v>
      </c>
      <c r="D247" s="8" t="n">
        <f aca="false">C247-B247</f>
        <v>0</v>
      </c>
      <c r="E247" s="9" t="n">
        <f aca="false">IF(B247=0,0,(C247-B247)/B247)</f>
        <v>0</v>
      </c>
      <c r="F247" s="10" t="str">
        <f aca="false">IF(ABS(D247)&lt;0.0001,"OK",IF(ABS(E247)&lt;=0.02,"Mineur","Critique"))</f>
        <v>OK</v>
      </c>
      <c r="G247" s="5" t="str">
        <f aca="false">IF(F247="OK","Aucune",IF(F247="Mineur","Ajustement mineur","Correction urgente"))</f>
        <v>Aucune</v>
      </c>
    </row>
    <row r="248" customFormat="false" ht="15" hidden="false" customHeight="true" outlineLevel="0" collapsed="false">
      <c r="A248" s="5" t="s">
        <v>252</v>
      </c>
      <c r="B248" s="6" t="n">
        <v>1</v>
      </c>
      <c r="C248" s="7" t="n">
        <v>1</v>
      </c>
      <c r="D248" s="8" t="n">
        <f aca="false">C248-B248</f>
        <v>0</v>
      </c>
      <c r="E248" s="9" t="n">
        <f aca="false">IF(B248=0,0,(C248-B248)/B248)</f>
        <v>0</v>
      </c>
      <c r="F248" s="10" t="str">
        <f aca="false">IF(ABS(D248)&lt;0.0001,"OK",IF(ABS(E248)&lt;=0.02,"Mineur","Critique"))</f>
        <v>OK</v>
      </c>
      <c r="G248" s="5" t="str">
        <f aca="false">IF(F248="OK","Aucune",IF(F248="Mineur","Ajustement mineur","Correction urgente"))</f>
        <v>Aucune</v>
      </c>
    </row>
    <row r="249" customFormat="false" ht="15" hidden="false" customHeight="true" outlineLevel="0" collapsed="false">
      <c r="A249" s="5" t="s">
        <v>253</v>
      </c>
      <c r="B249" s="6" t="n">
        <v>1</v>
      </c>
      <c r="C249" s="7" t="n">
        <v>1</v>
      </c>
      <c r="D249" s="8" t="n">
        <f aca="false">C249-B249</f>
        <v>0</v>
      </c>
      <c r="E249" s="9" t="n">
        <f aca="false">IF(B249=0,0,(C249-B249)/B249)</f>
        <v>0</v>
      </c>
      <c r="F249" s="10" t="str">
        <f aca="false">IF(ABS(D249)&lt;0.0001,"OK",IF(ABS(E249)&lt;=0.02,"Mineur","Critique"))</f>
        <v>OK</v>
      </c>
      <c r="G249" s="5" t="str">
        <f aca="false">IF(F249="OK","Aucune",IF(F249="Mineur","Ajustement mineur","Correction urgente"))</f>
        <v>Aucune</v>
      </c>
    </row>
    <row r="250" customFormat="false" ht="15" hidden="false" customHeight="true" outlineLevel="0" collapsed="false">
      <c r="A250" s="5" t="s">
        <v>254</v>
      </c>
      <c r="B250" s="6" t="n">
        <v>1</v>
      </c>
      <c r="C250" s="7" t="n">
        <v>1</v>
      </c>
      <c r="D250" s="8" t="n">
        <f aca="false">C250-B250</f>
        <v>0</v>
      </c>
      <c r="E250" s="9" t="n">
        <f aca="false">IF(B250=0,0,(C250-B250)/B250)</f>
        <v>0</v>
      </c>
      <c r="F250" s="10" t="str">
        <f aca="false">IF(ABS(D250)&lt;0.0001,"OK",IF(ABS(E250)&lt;=0.02,"Mineur","Critique"))</f>
        <v>OK</v>
      </c>
      <c r="G250" s="5" t="str">
        <f aca="false">IF(F250="OK","Aucune",IF(F250="Mineur","Ajustement mineur","Correction urgente"))</f>
        <v>Aucune</v>
      </c>
    </row>
    <row r="251" customFormat="false" ht="15" hidden="false" customHeight="true" outlineLevel="0" collapsed="false">
      <c r="A251" s="5" t="s">
        <v>255</v>
      </c>
      <c r="B251" s="6" t="n">
        <v>1.0487</v>
      </c>
      <c r="C251" s="7" t="n">
        <v>1.0487</v>
      </c>
      <c r="D251" s="8" t="n">
        <f aca="false">C251-B251</f>
        <v>0</v>
      </c>
      <c r="E251" s="9" t="n">
        <f aca="false">IF(B251=0,0,(C251-B251)/B251)</f>
        <v>0</v>
      </c>
      <c r="F251" s="10" t="str">
        <f aca="false">IF(ABS(D251)&lt;0.0001,"OK",IF(ABS(E251)&lt;=0.02,"Mineur","Critique"))</f>
        <v>OK</v>
      </c>
      <c r="G251" s="5" t="str">
        <f aca="false">IF(F251="OK","Aucune",IF(F251="Mineur","Ajustement mineur","Correction urgente"))</f>
        <v>Aucune</v>
      </c>
    </row>
    <row r="252" customFormat="false" ht="15" hidden="false" customHeight="true" outlineLevel="0" collapsed="false">
      <c r="A252" s="5" t="s">
        <v>256</v>
      </c>
      <c r="B252" s="6" t="n">
        <v>0.9164</v>
      </c>
      <c r="C252" s="7" t="n">
        <v>0.9159</v>
      </c>
      <c r="D252" s="8" t="n">
        <f aca="false">C252-B252</f>
        <v>-0.000499999999999945</v>
      </c>
      <c r="E252" s="9" t="n">
        <f aca="false">IF(B252=0,0,(C252-B252)/B252)</f>
        <v>-0.00054561326931465</v>
      </c>
      <c r="F252" s="10" t="str">
        <f aca="false">IF(ABS(D252)&lt;0.0001,"OK",IF(ABS(E252)&lt;=0.02,"Mineur","Critique"))</f>
        <v>Mineur</v>
      </c>
      <c r="G252" s="5" t="str">
        <f aca="false">IF(F252="OK","Aucune",IF(F252="Mineur","Ajustement mineur","Correction urgente"))</f>
        <v>Ajustement mineur</v>
      </c>
    </row>
    <row r="253" customFormat="false" ht="15" hidden="false" customHeight="true" outlineLevel="0" collapsed="false">
      <c r="A253" s="5" t="s">
        <v>257</v>
      </c>
      <c r="B253" s="6" t="n">
        <v>1.0694</v>
      </c>
      <c r="C253" s="7" t="n">
        <v>1.0694</v>
      </c>
      <c r="D253" s="8" t="n">
        <f aca="false">C253-B253</f>
        <v>0</v>
      </c>
      <c r="E253" s="9" t="n">
        <f aca="false">IF(B253=0,0,(C253-B253)/B253)</f>
        <v>0</v>
      </c>
      <c r="F253" s="10" t="str">
        <f aca="false">IF(ABS(D253)&lt;0.0001,"OK",IF(ABS(E253)&lt;=0.02,"Mineur","Critique"))</f>
        <v>OK</v>
      </c>
      <c r="G253" s="5" t="str">
        <f aca="false">IF(F253="OK","Aucune",IF(F253="Mineur","Ajustement mineur","Correction urgente"))</f>
        <v>Aucune</v>
      </c>
    </row>
    <row r="254" customFormat="false" ht="15" hidden="false" customHeight="true" outlineLevel="0" collapsed="false">
      <c r="A254" s="5" t="s">
        <v>258</v>
      </c>
      <c r="B254" s="6" t="n">
        <v>1</v>
      </c>
      <c r="C254" s="7" t="n">
        <v>1</v>
      </c>
      <c r="D254" s="8" t="n">
        <f aca="false">C254-B254</f>
        <v>0</v>
      </c>
      <c r="E254" s="9" t="n">
        <f aca="false">IF(B254=0,0,(C254-B254)/B254)</f>
        <v>0</v>
      </c>
      <c r="F254" s="10" t="str">
        <f aca="false">IF(ABS(D254)&lt;0.0001,"OK",IF(ABS(E254)&lt;=0.02,"Mineur","Critique"))</f>
        <v>OK</v>
      </c>
      <c r="G254" s="5" t="str">
        <f aca="false">IF(F254="OK","Aucune",IF(F254="Mineur","Ajustement mineur","Correction urgente"))</f>
        <v>Aucune</v>
      </c>
    </row>
    <row r="255" customFormat="false" ht="15" hidden="false" customHeight="true" outlineLevel="0" collapsed="false">
      <c r="A255" s="5" t="s">
        <v>259</v>
      </c>
      <c r="B255" s="6" t="n">
        <v>0.9689</v>
      </c>
      <c r="C255" s="7" t="n">
        <v>0.9689</v>
      </c>
      <c r="D255" s="8" t="n">
        <f aca="false">C255-B255</f>
        <v>0</v>
      </c>
      <c r="E255" s="9" t="n">
        <f aca="false">IF(B255=0,0,(C255-B255)/B255)</f>
        <v>0</v>
      </c>
      <c r="F255" s="10" t="str">
        <f aca="false">IF(ABS(D255)&lt;0.0001,"OK",IF(ABS(E255)&lt;=0.02,"Mineur","Critique"))</f>
        <v>OK</v>
      </c>
      <c r="G255" s="5" t="str">
        <f aca="false">IF(F255="OK","Aucune",IF(F255="Mineur","Ajustement mineur","Correction urgente"))</f>
        <v>Aucune</v>
      </c>
    </row>
    <row r="256" customFormat="false" ht="15" hidden="false" customHeight="true" outlineLevel="0" collapsed="false">
      <c r="A256" s="5" t="s">
        <v>260</v>
      </c>
      <c r="B256" s="6" t="n">
        <v>1</v>
      </c>
      <c r="C256" s="7" t="n">
        <v>1</v>
      </c>
      <c r="D256" s="8" t="n">
        <f aca="false">C256-B256</f>
        <v>0</v>
      </c>
      <c r="E256" s="9" t="n">
        <f aca="false">IF(B256=0,0,(C256-B256)/B256)</f>
        <v>0</v>
      </c>
      <c r="F256" s="10" t="str">
        <f aca="false">IF(ABS(D256)&lt;0.0001,"OK",IF(ABS(E256)&lt;=0.02,"Mineur","Critique"))</f>
        <v>OK</v>
      </c>
      <c r="G256" s="5" t="str">
        <f aca="false">IF(F256="OK","Aucune",IF(F256="Mineur","Ajustement mineur","Correction urgente"))</f>
        <v>Aucune</v>
      </c>
    </row>
    <row r="257" customFormat="false" ht="15" hidden="false" customHeight="true" outlineLevel="0" collapsed="false">
      <c r="A257" s="5" t="s">
        <v>261</v>
      </c>
      <c r="B257" s="6" t="n">
        <v>0.9568</v>
      </c>
      <c r="C257" s="7" t="n">
        <v>0.9568</v>
      </c>
      <c r="D257" s="8" t="n">
        <f aca="false">C257-B257</f>
        <v>0</v>
      </c>
      <c r="E257" s="9" t="n">
        <f aca="false">IF(B257=0,0,(C257-B257)/B257)</f>
        <v>0</v>
      </c>
      <c r="F257" s="10" t="str">
        <f aca="false">IF(ABS(D257)&lt;0.0001,"OK",IF(ABS(E257)&lt;=0.02,"Mineur","Critique"))</f>
        <v>OK</v>
      </c>
      <c r="G257" s="5" t="str">
        <f aca="false">IF(F257="OK","Aucune",IF(F257="Mineur","Ajustement mineur","Correction urgente"))</f>
        <v>Aucune</v>
      </c>
    </row>
    <row r="258" customFormat="false" ht="15" hidden="false" customHeight="true" outlineLevel="0" collapsed="false">
      <c r="A258" s="5" t="s">
        <v>262</v>
      </c>
      <c r="B258" s="6" t="n">
        <v>1.0423</v>
      </c>
      <c r="C258" s="7" t="n">
        <v>1.0423</v>
      </c>
      <c r="D258" s="8" t="n">
        <f aca="false">C258-B258</f>
        <v>0</v>
      </c>
      <c r="E258" s="9" t="n">
        <f aca="false">IF(B258=0,0,(C258-B258)/B258)</f>
        <v>0</v>
      </c>
      <c r="F258" s="10" t="str">
        <f aca="false">IF(ABS(D258)&lt;0.0001,"OK",IF(ABS(E258)&lt;=0.02,"Mineur","Critique"))</f>
        <v>OK</v>
      </c>
      <c r="G258" s="5" t="str">
        <f aca="false">IF(F258="OK","Aucune",IF(F258="Mineur","Ajustement mineur","Correction urgente"))</f>
        <v>Aucune</v>
      </c>
    </row>
    <row r="259" customFormat="false" ht="15" hidden="false" customHeight="true" outlineLevel="0" collapsed="false">
      <c r="A259" s="5" t="s">
        <v>263</v>
      </c>
      <c r="B259" s="6" t="n">
        <v>1</v>
      </c>
      <c r="C259" s="7" t="n">
        <v>1.0048</v>
      </c>
      <c r="D259" s="8" t="n">
        <f aca="false">C259-B259</f>
        <v>0.00479999999999992</v>
      </c>
      <c r="E259" s="9" t="n">
        <f aca="false">IF(B259=0,0,(C259-B259)/B259)</f>
        <v>0.00479999999999992</v>
      </c>
      <c r="F259" s="10" t="str">
        <f aca="false">IF(ABS(D259)&lt;0.0001,"OK",IF(ABS(E259)&lt;=0.02,"Mineur","Critique"))</f>
        <v>Mineur</v>
      </c>
      <c r="G259" s="5" t="str">
        <f aca="false">IF(F259="OK","Aucune",IF(F259="Mineur","Ajustement mineur","Correction urgente"))</f>
        <v>Ajustement mineur</v>
      </c>
    </row>
    <row r="260" customFormat="false" ht="15" hidden="false" customHeight="true" outlineLevel="0" collapsed="false">
      <c r="A260" s="5" t="s">
        <v>264</v>
      </c>
      <c r="B260" s="6" t="n">
        <v>0.9696</v>
      </c>
      <c r="C260" s="7" t="n">
        <v>0.9696</v>
      </c>
      <c r="D260" s="8" t="n">
        <f aca="false">C260-B260</f>
        <v>0</v>
      </c>
      <c r="E260" s="9" t="n">
        <f aca="false">IF(B260=0,0,(C260-B260)/B260)</f>
        <v>0</v>
      </c>
      <c r="F260" s="10" t="str">
        <f aca="false">IF(ABS(D260)&lt;0.0001,"OK",IF(ABS(E260)&lt;=0.02,"Mineur","Critique"))</f>
        <v>OK</v>
      </c>
      <c r="G260" s="5" t="str">
        <f aca="false">IF(F260="OK","Aucune",IF(F260="Mineur","Ajustement mineur","Correction urgente"))</f>
        <v>Aucune</v>
      </c>
    </row>
    <row r="261" customFormat="false" ht="15" hidden="false" customHeight="true" outlineLevel="0" collapsed="false">
      <c r="A261" s="5" t="s">
        <v>265</v>
      </c>
      <c r="B261" s="6" t="n">
        <v>0.9135</v>
      </c>
      <c r="C261" s="7" t="n">
        <v>0.9135</v>
      </c>
      <c r="D261" s="8" t="n">
        <f aca="false">C261-B261</f>
        <v>0</v>
      </c>
      <c r="E261" s="9" t="n">
        <f aca="false">IF(B261=0,0,(C261-B261)/B261)</f>
        <v>0</v>
      </c>
      <c r="F261" s="10" t="str">
        <f aca="false">IF(ABS(D261)&lt;0.0001,"OK",IF(ABS(E261)&lt;=0.02,"Mineur","Critique"))</f>
        <v>OK</v>
      </c>
      <c r="G261" s="5" t="str">
        <f aca="false">IF(F261="OK","Aucune",IF(F261="Mineur","Ajustement mineur","Correction urgente"))</f>
        <v>Aucune</v>
      </c>
    </row>
    <row r="262" customFormat="false" ht="15" hidden="false" customHeight="true" outlineLevel="0" collapsed="false">
      <c r="A262" s="5" t="s">
        <v>266</v>
      </c>
      <c r="B262" s="6" t="n">
        <v>1</v>
      </c>
      <c r="C262" s="7" t="n">
        <v>1</v>
      </c>
      <c r="D262" s="8" t="n">
        <f aca="false">C262-B262</f>
        <v>0</v>
      </c>
      <c r="E262" s="9" t="n">
        <f aca="false">IF(B262=0,0,(C262-B262)/B262)</f>
        <v>0</v>
      </c>
      <c r="F262" s="10" t="str">
        <f aca="false">IF(ABS(D262)&lt;0.0001,"OK",IF(ABS(E262)&lt;=0.02,"Mineur","Critique"))</f>
        <v>OK</v>
      </c>
      <c r="G262" s="5" t="str">
        <f aca="false">IF(F262="OK","Aucune",IF(F262="Mineur","Ajustement mineur","Correction urgente"))</f>
        <v>Aucune</v>
      </c>
    </row>
    <row r="263" customFormat="false" ht="15" hidden="false" customHeight="true" outlineLevel="0" collapsed="false">
      <c r="A263" s="5" t="s">
        <v>267</v>
      </c>
      <c r="B263" s="6" t="n">
        <v>0.9655</v>
      </c>
      <c r="C263" s="7" t="n">
        <v>0.9655</v>
      </c>
      <c r="D263" s="8" t="n">
        <f aca="false">C263-B263</f>
        <v>0</v>
      </c>
      <c r="E263" s="9" t="n">
        <f aca="false">IF(B263=0,0,(C263-B263)/B263)</f>
        <v>0</v>
      </c>
      <c r="F263" s="10" t="str">
        <f aca="false">IF(ABS(D263)&lt;0.0001,"OK",IF(ABS(E263)&lt;=0.02,"Mineur","Critique"))</f>
        <v>OK</v>
      </c>
      <c r="G263" s="5" t="str">
        <f aca="false">IF(F263="OK","Aucune",IF(F263="Mineur","Ajustement mineur","Correction urgente"))</f>
        <v>Aucune</v>
      </c>
    </row>
    <row r="264" customFormat="false" ht="15" hidden="false" customHeight="true" outlineLevel="0" collapsed="false">
      <c r="A264" s="5" t="s">
        <v>268</v>
      </c>
      <c r="B264" s="6" t="n">
        <v>0.9205</v>
      </c>
      <c r="C264" s="7" t="n">
        <v>0.9751</v>
      </c>
      <c r="D264" s="8" t="n">
        <f aca="false">C264-B264</f>
        <v>0.0546</v>
      </c>
      <c r="E264" s="9" t="n">
        <f aca="false">IF(B264=0,0,(C264-B264)/B264)</f>
        <v>0.0593155893536122</v>
      </c>
      <c r="F264" s="10" t="str">
        <f aca="false">IF(ABS(D264)&lt;0.0001,"OK",IF(ABS(E264)&lt;=0.02,"Mineur","Critique"))</f>
        <v>Critique</v>
      </c>
      <c r="G264" s="5" t="str">
        <f aca="false">IF(F264="OK","Aucune",IF(F264="Mineur","Ajustement mineur","Correction urgente"))</f>
        <v>Correction urgente</v>
      </c>
    </row>
    <row r="265" customFormat="false" ht="15" hidden="false" customHeight="true" outlineLevel="0" collapsed="false">
      <c r="A265" s="5" t="s">
        <v>269</v>
      </c>
      <c r="B265" s="6" t="n">
        <v>1.0933</v>
      </c>
      <c r="C265" s="7" t="n">
        <v>1.0933</v>
      </c>
      <c r="D265" s="8" t="n">
        <f aca="false">C265-B265</f>
        <v>0</v>
      </c>
      <c r="E265" s="9" t="n">
        <f aca="false">IF(B265=0,0,(C265-B265)/B265)</f>
        <v>0</v>
      </c>
      <c r="F265" s="10" t="str">
        <f aca="false">IF(ABS(D265)&lt;0.0001,"OK",IF(ABS(E265)&lt;=0.02,"Mineur","Critique"))</f>
        <v>OK</v>
      </c>
      <c r="G265" s="5" t="str">
        <f aca="false">IF(F265="OK","Aucune",IF(F265="Mineur","Ajustement mineur","Correction urgente"))</f>
        <v>Aucune</v>
      </c>
    </row>
    <row r="266" customFormat="false" ht="15" hidden="false" customHeight="true" outlineLevel="0" collapsed="false">
      <c r="A266" s="5" t="s">
        <v>270</v>
      </c>
      <c r="B266" s="6" t="n">
        <v>1.0934</v>
      </c>
      <c r="C266" s="7" t="n">
        <v>1.0566</v>
      </c>
      <c r="D266" s="8" t="n">
        <f aca="false">C266-B266</f>
        <v>-0.0367999999999999</v>
      </c>
      <c r="E266" s="9" t="n">
        <f aca="false">IF(B266=0,0,(C266-B266)/B266)</f>
        <v>-0.0336564843607097</v>
      </c>
      <c r="F266" s="10" t="str">
        <f aca="false">IF(ABS(D266)&lt;0.0001,"OK",IF(ABS(E266)&lt;=0.02,"Mineur","Critique"))</f>
        <v>Critique</v>
      </c>
      <c r="G266" s="5" t="str">
        <f aca="false">IF(F266="OK","Aucune",IF(F266="Mineur","Ajustement mineur","Correction urgente"))</f>
        <v>Correction urgente</v>
      </c>
    </row>
    <row r="267" customFormat="false" ht="15" hidden="false" customHeight="true" outlineLevel="0" collapsed="false">
      <c r="A267" s="5" t="s">
        <v>271</v>
      </c>
      <c r="B267" s="6" t="n">
        <v>1</v>
      </c>
      <c r="C267" s="7" t="n">
        <v>0.9148</v>
      </c>
      <c r="D267" s="8" t="n">
        <f aca="false">C267-B267</f>
        <v>-0.0852000000000001</v>
      </c>
      <c r="E267" s="9" t="n">
        <f aca="false">IF(B267=0,0,(C267-B267)/B267)</f>
        <v>-0.0852000000000001</v>
      </c>
      <c r="F267" s="10" t="str">
        <f aca="false">IF(ABS(D267)&lt;0.0001,"OK",IF(ABS(E267)&lt;=0.02,"Mineur","Critique"))</f>
        <v>Critique</v>
      </c>
      <c r="G267" s="5" t="str">
        <f aca="false">IF(F267="OK","Aucune",IF(F267="Mineur","Ajustement mineur","Correction urgente"))</f>
        <v>Correction urgente</v>
      </c>
    </row>
    <row r="268" customFormat="false" ht="15" hidden="false" customHeight="true" outlineLevel="0" collapsed="false">
      <c r="A268" s="5" t="s">
        <v>272</v>
      </c>
      <c r="B268" s="6" t="n">
        <v>1</v>
      </c>
      <c r="C268" s="7" t="n">
        <v>1</v>
      </c>
      <c r="D268" s="8" t="n">
        <f aca="false">C268-B268</f>
        <v>0</v>
      </c>
      <c r="E268" s="9" t="n">
        <f aca="false">IF(B268=0,0,(C268-B268)/B268)</f>
        <v>0</v>
      </c>
      <c r="F268" s="10" t="str">
        <f aca="false">IF(ABS(D268)&lt;0.0001,"OK",IF(ABS(E268)&lt;=0.02,"Mineur","Critique"))</f>
        <v>OK</v>
      </c>
      <c r="G268" s="5" t="str">
        <f aca="false">IF(F268="OK","Aucune",IF(F268="Mineur","Ajustement mineur","Correction urgente"))</f>
        <v>Aucune</v>
      </c>
    </row>
    <row r="269" customFormat="false" ht="15" hidden="false" customHeight="true" outlineLevel="0" collapsed="false">
      <c r="A269" s="5" t="s">
        <v>273</v>
      </c>
      <c r="B269" s="6" t="n">
        <v>1.1312</v>
      </c>
      <c r="C269" s="7" t="n">
        <v>1.1312</v>
      </c>
      <c r="D269" s="8" t="n">
        <f aca="false">C269-B269</f>
        <v>0</v>
      </c>
      <c r="E269" s="9" t="n">
        <f aca="false">IF(B269=0,0,(C269-B269)/B269)</f>
        <v>0</v>
      </c>
      <c r="F269" s="10" t="str">
        <f aca="false">IF(ABS(D269)&lt;0.0001,"OK",IF(ABS(E269)&lt;=0.02,"Mineur","Critique"))</f>
        <v>OK</v>
      </c>
      <c r="G269" s="5" t="str">
        <f aca="false">IF(F269="OK","Aucune",IF(F269="Mineur","Ajustement mineur","Correction urgente"))</f>
        <v>Aucune</v>
      </c>
    </row>
    <row r="270" customFormat="false" ht="15" hidden="false" customHeight="true" outlineLevel="0" collapsed="false">
      <c r="A270" s="5" t="s">
        <v>274</v>
      </c>
      <c r="B270" s="6" t="n">
        <v>1.0954</v>
      </c>
      <c r="C270" s="7" t="n">
        <v>1.0954</v>
      </c>
      <c r="D270" s="8" t="n">
        <f aca="false">C270-B270</f>
        <v>0</v>
      </c>
      <c r="E270" s="9" t="n">
        <f aca="false">IF(B270=0,0,(C270-B270)/B270)</f>
        <v>0</v>
      </c>
      <c r="F270" s="10" t="str">
        <f aca="false">IF(ABS(D270)&lt;0.0001,"OK",IF(ABS(E270)&lt;=0.02,"Mineur","Critique"))</f>
        <v>OK</v>
      </c>
      <c r="G270" s="5" t="str">
        <f aca="false">IF(F270="OK","Aucune",IF(F270="Mineur","Ajustement mineur","Correction urgente"))</f>
        <v>Aucune</v>
      </c>
    </row>
    <row r="271" customFormat="false" ht="15" hidden="false" customHeight="true" outlineLevel="0" collapsed="false">
      <c r="A271" s="5" t="s">
        <v>275</v>
      </c>
      <c r="B271" s="6" t="n">
        <v>0.9484</v>
      </c>
      <c r="C271" s="7" t="n">
        <v>0.9484</v>
      </c>
      <c r="D271" s="8" t="n">
        <f aca="false">C271-B271</f>
        <v>0</v>
      </c>
      <c r="E271" s="9" t="n">
        <f aca="false">IF(B271=0,0,(C271-B271)/B271)</f>
        <v>0</v>
      </c>
      <c r="F271" s="10" t="str">
        <f aca="false">IF(ABS(D271)&lt;0.0001,"OK",IF(ABS(E271)&lt;=0.02,"Mineur","Critique"))</f>
        <v>OK</v>
      </c>
      <c r="G271" s="5" t="str">
        <f aca="false">IF(F271="OK","Aucune",IF(F271="Mineur","Ajustement mineur","Correction urgente"))</f>
        <v>Aucune</v>
      </c>
    </row>
    <row r="272" customFormat="false" ht="15" hidden="false" customHeight="true" outlineLevel="0" collapsed="false">
      <c r="A272" s="5" t="s">
        <v>276</v>
      </c>
      <c r="B272" s="6" t="n">
        <v>1.1289</v>
      </c>
      <c r="C272" s="7" t="n">
        <v>1.1289</v>
      </c>
      <c r="D272" s="8" t="n">
        <f aca="false">C272-B272</f>
        <v>0</v>
      </c>
      <c r="E272" s="9" t="n">
        <f aca="false">IF(B272=0,0,(C272-B272)/B272)</f>
        <v>0</v>
      </c>
      <c r="F272" s="10" t="str">
        <f aca="false">IF(ABS(D272)&lt;0.0001,"OK",IF(ABS(E272)&lt;=0.02,"Mineur","Critique"))</f>
        <v>OK</v>
      </c>
      <c r="G272" s="5" t="str">
        <f aca="false">IF(F272="OK","Aucune",IF(F272="Mineur","Ajustement mineur","Correction urgente"))</f>
        <v>Aucune</v>
      </c>
    </row>
    <row r="273" customFormat="false" ht="15" hidden="false" customHeight="true" outlineLevel="0" collapsed="false">
      <c r="A273" s="5" t="s">
        <v>277</v>
      </c>
      <c r="B273" s="6" t="n">
        <v>1.0251</v>
      </c>
      <c r="C273" s="7" t="n">
        <v>1.0251</v>
      </c>
      <c r="D273" s="8" t="n">
        <f aca="false">C273-B273</f>
        <v>0</v>
      </c>
      <c r="E273" s="9" t="n">
        <f aca="false">IF(B273=0,0,(C273-B273)/B273)</f>
        <v>0</v>
      </c>
      <c r="F273" s="10" t="str">
        <f aca="false">IF(ABS(D273)&lt;0.0001,"OK",IF(ABS(E273)&lt;=0.02,"Mineur","Critique"))</f>
        <v>OK</v>
      </c>
      <c r="G273" s="5" t="str">
        <f aca="false">IF(F273="OK","Aucune",IF(F273="Mineur","Ajustement mineur","Correction urgente"))</f>
        <v>Aucune</v>
      </c>
    </row>
    <row r="274" customFormat="false" ht="15" hidden="false" customHeight="true" outlineLevel="0" collapsed="false">
      <c r="A274" s="5" t="s">
        <v>278</v>
      </c>
      <c r="B274" s="6" t="n">
        <v>0.9352</v>
      </c>
      <c r="C274" s="7" t="n">
        <v>0.9352</v>
      </c>
      <c r="D274" s="8" t="n">
        <f aca="false">C274-B274</f>
        <v>0</v>
      </c>
      <c r="E274" s="9" t="n">
        <f aca="false">IF(B274=0,0,(C274-B274)/B274)</f>
        <v>0</v>
      </c>
      <c r="F274" s="10" t="str">
        <f aca="false">IF(ABS(D274)&lt;0.0001,"OK",IF(ABS(E274)&lt;=0.02,"Mineur","Critique"))</f>
        <v>OK</v>
      </c>
      <c r="G274" s="5" t="str">
        <f aca="false">IF(F274="OK","Aucune",IF(F274="Mineur","Ajustement mineur","Correction urgente"))</f>
        <v>Aucune</v>
      </c>
    </row>
    <row r="275" customFormat="false" ht="15" hidden="false" customHeight="true" outlineLevel="0" collapsed="false">
      <c r="A275" s="5" t="s">
        <v>279</v>
      </c>
      <c r="B275" s="6" t="n">
        <v>1</v>
      </c>
      <c r="C275" s="7" t="n">
        <v>1</v>
      </c>
      <c r="D275" s="8" t="n">
        <f aca="false">C275-B275</f>
        <v>0</v>
      </c>
      <c r="E275" s="9" t="n">
        <f aca="false">IF(B275=0,0,(C275-B275)/B275)</f>
        <v>0</v>
      </c>
      <c r="F275" s="10" t="str">
        <f aca="false">IF(ABS(D275)&lt;0.0001,"OK",IF(ABS(E275)&lt;=0.02,"Mineur","Critique"))</f>
        <v>OK</v>
      </c>
      <c r="G275" s="5" t="str">
        <f aca="false">IF(F275="OK","Aucune",IF(F275="Mineur","Ajustement mineur","Correction urgente"))</f>
        <v>Aucune</v>
      </c>
    </row>
    <row r="276" customFormat="false" ht="15" hidden="false" customHeight="true" outlineLevel="0" collapsed="false">
      <c r="A276" s="5" t="s">
        <v>280</v>
      </c>
      <c r="B276" s="6" t="n">
        <v>1</v>
      </c>
      <c r="C276" s="7" t="n">
        <v>1</v>
      </c>
      <c r="D276" s="8" t="n">
        <f aca="false">C276-B276</f>
        <v>0</v>
      </c>
      <c r="E276" s="9" t="n">
        <f aca="false">IF(B276=0,0,(C276-B276)/B276)</f>
        <v>0</v>
      </c>
      <c r="F276" s="10" t="str">
        <f aca="false">IF(ABS(D276)&lt;0.0001,"OK",IF(ABS(E276)&lt;=0.02,"Mineur","Critique"))</f>
        <v>OK</v>
      </c>
      <c r="G276" s="5" t="str">
        <f aca="false">IF(F276="OK","Aucune",IF(F276="Mineur","Ajustement mineur","Correction urgente"))</f>
        <v>Aucune</v>
      </c>
    </row>
    <row r="277" customFormat="false" ht="15" hidden="false" customHeight="true" outlineLevel="0" collapsed="false">
      <c r="A277" s="5" t="s">
        <v>281</v>
      </c>
      <c r="B277" s="6" t="n">
        <v>1</v>
      </c>
      <c r="C277" s="7" t="n">
        <v>1</v>
      </c>
      <c r="D277" s="8" t="n">
        <f aca="false">C277-B277</f>
        <v>0</v>
      </c>
      <c r="E277" s="9" t="n">
        <f aca="false">IF(B277=0,0,(C277-B277)/B277)</f>
        <v>0</v>
      </c>
      <c r="F277" s="10" t="str">
        <f aca="false">IF(ABS(D277)&lt;0.0001,"OK",IF(ABS(E277)&lt;=0.02,"Mineur","Critique"))</f>
        <v>OK</v>
      </c>
      <c r="G277" s="5" t="str">
        <f aca="false">IF(F277="OK","Aucune",IF(F277="Mineur","Ajustement mineur","Correction urgente"))</f>
        <v>Aucune</v>
      </c>
    </row>
    <row r="278" customFormat="false" ht="15" hidden="false" customHeight="true" outlineLevel="0" collapsed="false">
      <c r="A278" s="5" t="s">
        <v>282</v>
      </c>
      <c r="B278" s="6" t="n">
        <v>1.1454</v>
      </c>
      <c r="C278" s="7" t="n">
        <v>1.1454</v>
      </c>
      <c r="D278" s="8" t="n">
        <f aca="false">C278-B278</f>
        <v>0</v>
      </c>
      <c r="E278" s="9" t="n">
        <f aca="false">IF(B278=0,0,(C278-B278)/B278)</f>
        <v>0</v>
      </c>
      <c r="F278" s="10" t="str">
        <f aca="false">IF(ABS(D278)&lt;0.0001,"OK",IF(ABS(E278)&lt;=0.02,"Mineur","Critique"))</f>
        <v>OK</v>
      </c>
      <c r="G278" s="5" t="str">
        <f aca="false">IF(F278="OK","Aucune",IF(F278="Mineur","Ajustement mineur","Correction urgente"))</f>
        <v>Aucune</v>
      </c>
    </row>
    <row r="279" customFormat="false" ht="15" hidden="false" customHeight="true" outlineLevel="0" collapsed="false">
      <c r="A279" s="5" t="s">
        <v>283</v>
      </c>
      <c r="B279" s="6" t="n">
        <v>1.1053</v>
      </c>
      <c r="C279" s="7" t="n">
        <v>1.1053</v>
      </c>
      <c r="D279" s="8" t="n">
        <f aca="false">C279-B279</f>
        <v>0</v>
      </c>
      <c r="E279" s="9" t="n">
        <f aca="false">IF(B279=0,0,(C279-B279)/B279)</f>
        <v>0</v>
      </c>
      <c r="F279" s="10" t="str">
        <f aca="false">IF(ABS(D279)&lt;0.0001,"OK",IF(ABS(E279)&lt;=0.02,"Mineur","Critique"))</f>
        <v>OK</v>
      </c>
      <c r="G279" s="5" t="str">
        <f aca="false">IF(F279="OK","Aucune",IF(F279="Mineur","Ajustement mineur","Correction urgente"))</f>
        <v>Aucune</v>
      </c>
    </row>
    <row r="280" customFormat="false" ht="15" hidden="false" customHeight="true" outlineLevel="0" collapsed="false">
      <c r="A280" s="5" t="s">
        <v>284</v>
      </c>
      <c r="B280" s="6" t="n">
        <v>1</v>
      </c>
      <c r="C280" s="7" t="n">
        <v>1</v>
      </c>
      <c r="D280" s="8" t="n">
        <f aca="false">C280-B280</f>
        <v>0</v>
      </c>
      <c r="E280" s="9" t="n">
        <f aca="false">IF(B280=0,0,(C280-B280)/B280)</f>
        <v>0</v>
      </c>
      <c r="F280" s="10" t="str">
        <f aca="false">IF(ABS(D280)&lt;0.0001,"OK",IF(ABS(E280)&lt;=0.02,"Mineur","Critique"))</f>
        <v>OK</v>
      </c>
      <c r="G280" s="5" t="str">
        <f aca="false">IF(F280="OK","Aucune",IF(F280="Mineur","Ajustement mineur","Correction urgente"))</f>
        <v>Aucune</v>
      </c>
    </row>
    <row r="281" customFormat="false" ht="15" hidden="false" customHeight="true" outlineLevel="0" collapsed="false">
      <c r="A281" s="5" t="s">
        <v>285</v>
      </c>
      <c r="B281" s="6" t="n">
        <v>0.9515</v>
      </c>
      <c r="C281" s="7" t="n">
        <v>0.9515</v>
      </c>
      <c r="D281" s="8" t="n">
        <f aca="false">C281-B281</f>
        <v>0</v>
      </c>
      <c r="E281" s="9" t="n">
        <f aca="false">IF(B281=0,0,(C281-B281)/B281)</f>
        <v>0</v>
      </c>
      <c r="F281" s="10" t="str">
        <f aca="false">IF(ABS(D281)&lt;0.0001,"OK",IF(ABS(E281)&lt;=0.02,"Mineur","Critique"))</f>
        <v>OK</v>
      </c>
      <c r="G281" s="5" t="str">
        <f aca="false">IF(F281="OK","Aucune",IF(F281="Mineur","Ajustement mineur","Correction urgente"))</f>
        <v>Aucune</v>
      </c>
    </row>
    <row r="282" customFormat="false" ht="15" hidden="false" customHeight="true" outlineLevel="0" collapsed="false">
      <c r="A282" s="5" t="s">
        <v>286</v>
      </c>
      <c r="B282" s="6" t="n">
        <v>1.116</v>
      </c>
      <c r="C282" s="7" t="n">
        <v>1.0697</v>
      </c>
      <c r="D282" s="8" t="n">
        <f aca="false">C282-B282</f>
        <v>-0.0463</v>
      </c>
      <c r="E282" s="9" t="n">
        <f aca="false">IF(B282=0,0,(C282-B282)/B282)</f>
        <v>-0.0414874551971326</v>
      </c>
      <c r="F282" s="10" t="str">
        <f aca="false">IF(ABS(D282)&lt;0.0001,"OK",IF(ABS(E282)&lt;=0.02,"Mineur","Critique"))</f>
        <v>Critique</v>
      </c>
      <c r="G282" s="5" t="str">
        <f aca="false">IF(F282="OK","Aucune",IF(F282="Mineur","Ajustement mineur","Correction urgente"))</f>
        <v>Correction urgente</v>
      </c>
    </row>
    <row r="283" customFormat="false" ht="15" hidden="false" customHeight="true" outlineLevel="0" collapsed="false">
      <c r="A283" s="5" t="s">
        <v>287</v>
      </c>
      <c r="B283" s="6" t="n">
        <v>0.929</v>
      </c>
      <c r="C283" s="7" t="n">
        <v>0.929</v>
      </c>
      <c r="D283" s="8" t="n">
        <f aca="false">C283-B283</f>
        <v>0</v>
      </c>
      <c r="E283" s="9" t="n">
        <f aca="false">IF(B283=0,0,(C283-B283)/B283)</f>
        <v>0</v>
      </c>
      <c r="F283" s="10" t="str">
        <f aca="false">IF(ABS(D283)&lt;0.0001,"OK",IF(ABS(E283)&lt;=0.02,"Mineur","Critique"))</f>
        <v>OK</v>
      </c>
      <c r="G283" s="5" t="str">
        <f aca="false">IF(F283="OK","Aucune",IF(F283="Mineur","Ajustement mineur","Correction urgente"))</f>
        <v>Aucune</v>
      </c>
    </row>
    <row r="284" customFormat="false" ht="15" hidden="false" customHeight="true" outlineLevel="0" collapsed="false">
      <c r="A284" s="5" t="s">
        <v>288</v>
      </c>
      <c r="B284" s="6" t="n">
        <v>0.9613</v>
      </c>
      <c r="C284" s="7" t="n">
        <v>0.9613</v>
      </c>
      <c r="D284" s="8" t="n">
        <f aca="false">C284-B284</f>
        <v>0</v>
      </c>
      <c r="E284" s="9" t="n">
        <f aca="false">IF(B284=0,0,(C284-B284)/B284)</f>
        <v>0</v>
      </c>
      <c r="F284" s="10" t="str">
        <f aca="false">IF(ABS(D284)&lt;0.0001,"OK",IF(ABS(E284)&lt;=0.02,"Mineur","Critique"))</f>
        <v>OK</v>
      </c>
      <c r="G284" s="5" t="str">
        <f aca="false">IF(F284="OK","Aucune",IF(F284="Mineur","Ajustement mineur","Correction urgente"))</f>
        <v>Aucune</v>
      </c>
    </row>
    <row r="285" customFormat="false" ht="15" hidden="false" customHeight="true" outlineLevel="0" collapsed="false">
      <c r="A285" s="5" t="s">
        <v>289</v>
      </c>
      <c r="B285" s="6" t="n">
        <v>1.1225</v>
      </c>
      <c r="C285" s="7" t="n">
        <v>1.1225</v>
      </c>
      <c r="D285" s="8" t="n">
        <f aca="false">C285-B285</f>
        <v>0</v>
      </c>
      <c r="E285" s="9" t="n">
        <f aca="false">IF(B285=0,0,(C285-B285)/B285)</f>
        <v>0</v>
      </c>
      <c r="F285" s="10" t="str">
        <f aca="false">IF(ABS(D285)&lt;0.0001,"OK",IF(ABS(E285)&lt;=0.02,"Mineur","Critique"))</f>
        <v>OK</v>
      </c>
      <c r="G285" s="5" t="str">
        <f aca="false">IF(F285="OK","Aucune",IF(F285="Mineur","Ajustement mineur","Correction urgente"))</f>
        <v>Aucune</v>
      </c>
    </row>
    <row r="286" customFormat="false" ht="15" hidden="false" customHeight="true" outlineLevel="0" collapsed="false">
      <c r="A286" s="5" t="s">
        <v>290</v>
      </c>
      <c r="B286" s="6" t="n">
        <v>1.1003</v>
      </c>
      <c r="C286" s="7" t="n">
        <v>1.1003</v>
      </c>
      <c r="D286" s="8" t="n">
        <f aca="false">C286-B286</f>
        <v>0</v>
      </c>
      <c r="E286" s="9" t="n">
        <f aca="false">IF(B286=0,0,(C286-B286)/B286)</f>
        <v>0</v>
      </c>
      <c r="F286" s="10" t="str">
        <f aca="false">IF(ABS(D286)&lt;0.0001,"OK",IF(ABS(E286)&lt;=0.02,"Mineur","Critique"))</f>
        <v>OK</v>
      </c>
      <c r="G286" s="5" t="str">
        <f aca="false">IF(F286="OK","Aucune",IF(F286="Mineur","Ajustement mineur","Correction urgente"))</f>
        <v>Aucune</v>
      </c>
    </row>
    <row r="287" customFormat="false" ht="15" hidden="false" customHeight="true" outlineLevel="0" collapsed="false">
      <c r="A287" s="5" t="s">
        <v>291</v>
      </c>
      <c r="B287" s="6" t="n">
        <v>1.1281</v>
      </c>
      <c r="C287" s="7" t="n">
        <v>1.1556</v>
      </c>
      <c r="D287" s="8" t="n">
        <f aca="false">C287-B287</f>
        <v>0.0274999999999999</v>
      </c>
      <c r="E287" s="9" t="n">
        <f aca="false">IF(B287=0,0,(C287-B287)/B287)</f>
        <v>0.0243772715184823</v>
      </c>
      <c r="F287" s="10" t="str">
        <f aca="false">IF(ABS(D287)&lt;0.0001,"OK",IF(ABS(E287)&lt;=0.02,"Mineur","Critique"))</f>
        <v>Critique</v>
      </c>
      <c r="G287" s="5" t="str">
        <f aca="false">IF(F287="OK","Aucune",IF(F287="Mineur","Ajustement mineur","Correction urgente"))</f>
        <v>Correction urgente</v>
      </c>
    </row>
    <row r="288" customFormat="false" ht="15" hidden="false" customHeight="true" outlineLevel="0" collapsed="false">
      <c r="A288" s="5" t="s">
        <v>292</v>
      </c>
      <c r="B288" s="6" t="n">
        <v>1.0994</v>
      </c>
      <c r="C288" s="7" t="n">
        <v>1.1925</v>
      </c>
      <c r="D288" s="8" t="n">
        <f aca="false">C288-B288</f>
        <v>0.0931</v>
      </c>
      <c r="E288" s="9" t="n">
        <f aca="false">IF(B288=0,0,(C288-B288)/B288)</f>
        <v>0.0846825541204293</v>
      </c>
      <c r="F288" s="10" t="str">
        <f aca="false">IF(ABS(D288)&lt;0.0001,"OK",IF(ABS(E288)&lt;=0.02,"Mineur","Critique"))</f>
        <v>Critique</v>
      </c>
      <c r="G288" s="5" t="str">
        <f aca="false">IF(F288="OK","Aucune",IF(F288="Mineur","Ajustement mineur","Correction urgente"))</f>
        <v>Correction urgente</v>
      </c>
    </row>
    <row r="289" customFormat="false" ht="15" hidden="false" customHeight="true" outlineLevel="0" collapsed="false">
      <c r="A289" s="5" t="s">
        <v>293</v>
      </c>
      <c r="B289" s="6" t="n">
        <v>1.0452</v>
      </c>
      <c r="C289" s="7" t="n">
        <v>1.0016</v>
      </c>
      <c r="D289" s="8" t="n">
        <f aca="false">C289-B289</f>
        <v>-0.0435999999999999</v>
      </c>
      <c r="E289" s="9" t="n">
        <f aca="false">IF(B289=0,0,(C289-B289)/B289)</f>
        <v>-0.0417145044010714</v>
      </c>
      <c r="F289" s="10" t="str">
        <f aca="false">IF(ABS(D289)&lt;0.0001,"OK",IF(ABS(E289)&lt;=0.02,"Mineur","Critique"))</f>
        <v>Critique</v>
      </c>
      <c r="G289" s="5" t="str">
        <f aca="false">IF(F289="OK","Aucune",IF(F289="Mineur","Ajustement mineur","Correction urgente"))</f>
        <v>Correction urgente</v>
      </c>
    </row>
    <row r="290" customFormat="false" ht="15" hidden="false" customHeight="true" outlineLevel="0" collapsed="false">
      <c r="A290" s="5" t="s">
        <v>294</v>
      </c>
      <c r="B290" s="6" t="n">
        <v>0.9402</v>
      </c>
      <c r="C290" s="7" t="n">
        <v>0.8902</v>
      </c>
      <c r="D290" s="8" t="n">
        <f aca="false">C290-B290</f>
        <v>-0.05</v>
      </c>
      <c r="E290" s="9" t="n">
        <f aca="false">IF(B290=0,0,(C290-B290)/B290)</f>
        <v>-0.0531801744309722</v>
      </c>
      <c r="F290" s="10" t="str">
        <f aca="false">IF(ABS(D290)&lt;0.0001,"OK",IF(ABS(E290)&lt;=0.02,"Mineur","Critique"))</f>
        <v>Critique</v>
      </c>
      <c r="G290" s="5" t="str">
        <f aca="false">IF(F290="OK","Aucune",IF(F290="Mineur","Ajustement mineur","Correction urgente"))</f>
        <v>Correction urgente</v>
      </c>
    </row>
    <row r="291" customFormat="false" ht="15" hidden="false" customHeight="true" outlineLevel="0" collapsed="false">
      <c r="A291" s="5" t="s">
        <v>295</v>
      </c>
      <c r="B291" s="6" t="n">
        <v>0.9699</v>
      </c>
      <c r="C291" s="7" t="n">
        <v>0.9699</v>
      </c>
      <c r="D291" s="8" t="n">
        <f aca="false">C291-B291</f>
        <v>0</v>
      </c>
      <c r="E291" s="9" t="n">
        <f aca="false">IF(B291=0,0,(C291-B291)/B291)</f>
        <v>0</v>
      </c>
      <c r="F291" s="10" t="str">
        <f aca="false">IF(ABS(D291)&lt;0.0001,"OK",IF(ABS(E291)&lt;=0.02,"Mineur","Critique"))</f>
        <v>OK</v>
      </c>
      <c r="G291" s="5" t="str">
        <f aca="false">IF(F291="OK","Aucune",IF(F291="Mineur","Ajustement mineur","Correction urgente"))</f>
        <v>Aucune</v>
      </c>
    </row>
    <row r="292" customFormat="false" ht="15" hidden="false" customHeight="true" outlineLevel="0" collapsed="false">
      <c r="A292" s="5" t="s">
        <v>296</v>
      </c>
      <c r="B292" s="6" t="n">
        <v>0.9413</v>
      </c>
      <c r="C292" s="7" t="n">
        <v>0.8708</v>
      </c>
      <c r="D292" s="8" t="n">
        <f aca="false">C292-B292</f>
        <v>-0.0705</v>
      </c>
      <c r="E292" s="9" t="n">
        <f aca="false">IF(B292=0,0,(C292-B292)/B292)</f>
        <v>-0.0748964198448954</v>
      </c>
      <c r="F292" s="10" t="str">
        <f aca="false">IF(ABS(D292)&lt;0.0001,"OK",IF(ABS(E292)&lt;=0.02,"Mineur","Critique"))</f>
        <v>Critique</v>
      </c>
      <c r="G292" s="5" t="str">
        <f aca="false">IF(F292="OK","Aucune",IF(F292="Mineur","Ajustement mineur","Correction urgente"))</f>
        <v>Correction urgente</v>
      </c>
    </row>
    <row r="293" customFormat="false" ht="15" hidden="false" customHeight="true" outlineLevel="0" collapsed="false">
      <c r="A293" s="5" t="s">
        <v>297</v>
      </c>
      <c r="B293" s="6" t="n">
        <v>1</v>
      </c>
      <c r="C293" s="7" t="n">
        <v>1</v>
      </c>
      <c r="D293" s="8" t="n">
        <f aca="false">C293-B293</f>
        <v>0</v>
      </c>
      <c r="E293" s="9" t="n">
        <f aca="false">IF(B293=0,0,(C293-B293)/B293)</f>
        <v>0</v>
      </c>
      <c r="F293" s="10" t="str">
        <f aca="false">IF(ABS(D293)&lt;0.0001,"OK",IF(ABS(E293)&lt;=0.02,"Mineur","Critique"))</f>
        <v>OK</v>
      </c>
      <c r="G293" s="5" t="str">
        <f aca="false">IF(F293="OK","Aucune",IF(F293="Mineur","Ajustement mineur","Correction urgente"))</f>
        <v>Aucune</v>
      </c>
    </row>
    <row r="294" customFormat="false" ht="15" hidden="false" customHeight="true" outlineLevel="0" collapsed="false">
      <c r="A294" s="5" t="s">
        <v>298</v>
      </c>
      <c r="B294" s="6" t="n">
        <v>1</v>
      </c>
      <c r="C294" s="7" t="n">
        <v>1</v>
      </c>
      <c r="D294" s="8" t="n">
        <f aca="false">C294-B294</f>
        <v>0</v>
      </c>
      <c r="E294" s="9" t="n">
        <f aca="false">IF(B294=0,0,(C294-B294)/B294)</f>
        <v>0</v>
      </c>
      <c r="F294" s="10" t="str">
        <f aca="false">IF(ABS(D294)&lt;0.0001,"OK",IF(ABS(E294)&lt;=0.02,"Mineur","Critique"))</f>
        <v>OK</v>
      </c>
      <c r="G294" s="5" t="str">
        <f aca="false">IF(F294="OK","Aucune",IF(F294="Mineur","Ajustement mineur","Correction urgente"))</f>
        <v>Aucune</v>
      </c>
    </row>
    <row r="295" customFormat="false" ht="15" hidden="false" customHeight="true" outlineLevel="0" collapsed="false">
      <c r="A295" s="5" t="s">
        <v>299</v>
      </c>
      <c r="B295" s="6" t="n">
        <v>1.0329</v>
      </c>
      <c r="C295" s="7" t="n">
        <v>1.0329</v>
      </c>
      <c r="D295" s="8" t="n">
        <f aca="false">C295-B295</f>
        <v>0</v>
      </c>
      <c r="E295" s="9" t="n">
        <f aca="false">IF(B295=0,0,(C295-B295)/B295)</f>
        <v>0</v>
      </c>
      <c r="F295" s="10" t="str">
        <f aca="false">IF(ABS(D295)&lt;0.0001,"OK",IF(ABS(E295)&lt;=0.02,"Mineur","Critique"))</f>
        <v>OK</v>
      </c>
      <c r="G295" s="5" t="str">
        <f aca="false">IF(F295="OK","Aucune",IF(F295="Mineur","Ajustement mineur","Correction urgente"))</f>
        <v>Aucune</v>
      </c>
    </row>
    <row r="296" customFormat="false" ht="15" hidden="false" customHeight="true" outlineLevel="0" collapsed="false">
      <c r="A296" s="5" t="s">
        <v>300</v>
      </c>
      <c r="B296" s="6" t="n">
        <v>1</v>
      </c>
      <c r="C296" s="7" t="n">
        <v>1.0518</v>
      </c>
      <c r="D296" s="8" t="n">
        <f aca="false">C296-B296</f>
        <v>0.0518000000000001</v>
      </c>
      <c r="E296" s="9" t="n">
        <f aca="false">IF(B296=0,0,(C296-B296)/B296)</f>
        <v>0.0518000000000001</v>
      </c>
      <c r="F296" s="10" t="str">
        <f aca="false">IF(ABS(D296)&lt;0.0001,"OK",IF(ABS(E296)&lt;=0.02,"Mineur","Critique"))</f>
        <v>Critique</v>
      </c>
      <c r="G296" s="5" t="str">
        <f aca="false">IF(F296="OK","Aucune",IF(F296="Mineur","Ajustement mineur","Correction urgente"))</f>
        <v>Correction urgente</v>
      </c>
    </row>
    <row r="297" customFormat="false" ht="15" hidden="false" customHeight="true" outlineLevel="0" collapsed="false">
      <c r="A297" s="5" t="s">
        <v>301</v>
      </c>
      <c r="B297" s="6" t="n">
        <v>0.9359</v>
      </c>
      <c r="C297" s="7" t="n">
        <v>0.9359</v>
      </c>
      <c r="D297" s="8" t="n">
        <f aca="false">C297-B297</f>
        <v>0</v>
      </c>
      <c r="E297" s="9" t="n">
        <f aca="false">IF(B297=0,0,(C297-B297)/B297)</f>
        <v>0</v>
      </c>
      <c r="F297" s="10" t="str">
        <f aca="false">IF(ABS(D297)&lt;0.0001,"OK",IF(ABS(E297)&lt;=0.02,"Mineur","Critique"))</f>
        <v>OK</v>
      </c>
      <c r="G297" s="5" t="str">
        <f aca="false">IF(F297="OK","Aucune",IF(F297="Mineur","Ajustement mineur","Correction urgente"))</f>
        <v>Aucune</v>
      </c>
    </row>
    <row r="298" customFormat="false" ht="15" hidden="false" customHeight="true" outlineLevel="0" collapsed="false">
      <c r="A298" s="5" t="s">
        <v>302</v>
      </c>
      <c r="B298" s="6" t="n">
        <v>1.0394</v>
      </c>
      <c r="C298" s="7" t="n">
        <v>1.0394</v>
      </c>
      <c r="D298" s="8" t="n">
        <f aca="false">C298-B298</f>
        <v>0</v>
      </c>
      <c r="E298" s="9" t="n">
        <f aca="false">IF(B298=0,0,(C298-B298)/B298)</f>
        <v>0</v>
      </c>
      <c r="F298" s="10" t="str">
        <f aca="false">IF(ABS(D298)&lt;0.0001,"OK",IF(ABS(E298)&lt;=0.02,"Mineur","Critique"))</f>
        <v>OK</v>
      </c>
      <c r="G298" s="5" t="str">
        <f aca="false">IF(F298="OK","Aucune",IF(F298="Mineur","Ajustement mineur","Correction urgente"))</f>
        <v>Aucune</v>
      </c>
    </row>
    <row r="299" customFormat="false" ht="15" hidden="false" customHeight="true" outlineLevel="0" collapsed="false">
      <c r="A299" s="5" t="s">
        <v>303</v>
      </c>
      <c r="B299" s="6" t="n">
        <v>0.9339</v>
      </c>
      <c r="C299" s="7" t="n">
        <v>0.9339</v>
      </c>
      <c r="D299" s="8" t="n">
        <f aca="false">C299-B299</f>
        <v>0</v>
      </c>
      <c r="E299" s="9" t="n">
        <f aca="false">IF(B299=0,0,(C299-B299)/B299)</f>
        <v>0</v>
      </c>
      <c r="F299" s="10" t="str">
        <f aca="false">IF(ABS(D299)&lt;0.0001,"OK",IF(ABS(E299)&lt;=0.02,"Mineur","Critique"))</f>
        <v>OK</v>
      </c>
      <c r="G299" s="5" t="str">
        <f aca="false">IF(F299="OK","Aucune",IF(F299="Mineur","Ajustement mineur","Correction urgente"))</f>
        <v>Aucune</v>
      </c>
    </row>
    <row r="300" customFormat="false" ht="15" hidden="false" customHeight="true" outlineLevel="0" collapsed="false">
      <c r="A300" s="5" t="s">
        <v>304</v>
      </c>
      <c r="B300" s="6" t="n">
        <v>1.0746</v>
      </c>
      <c r="C300" s="7" t="n">
        <v>1.0746</v>
      </c>
      <c r="D300" s="8" t="n">
        <f aca="false">C300-B300</f>
        <v>0</v>
      </c>
      <c r="E300" s="9" t="n">
        <f aca="false">IF(B300=0,0,(C300-B300)/B300)</f>
        <v>0</v>
      </c>
      <c r="F300" s="10" t="str">
        <f aca="false">IF(ABS(D300)&lt;0.0001,"OK",IF(ABS(E300)&lt;=0.02,"Mineur","Critique"))</f>
        <v>OK</v>
      </c>
      <c r="G300" s="5" t="str">
        <f aca="false">IF(F300="OK","Aucune",IF(F300="Mineur","Ajustement mineur","Correction urgente"))</f>
        <v>Aucune</v>
      </c>
    </row>
    <row r="301" customFormat="false" ht="15" hidden="false" customHeight="true" outlineLevel="0" collapsed="false">
      <c r="A301" s="5" t="s">
        <v>305</v>
      </c>
      <c r="B301" s="6" t="n">
        <v>1.1377</v>
      </c>
      <c r="C301" s="7" t="n">
        <v>1.1377</v>
      </c>
      <c r="D301" s="8" t="n">
        <f aca="false">C301-B301</f>
        <v>0</v>
      </c>
      <c r="E301" s="9" t="n">
        <f aca="false">IF(B301=0,0,(C301-B301)/B301)</f>
        <v>0</v>
      </c>
      <c r="F301" s="10" t="str">
        <f aca="false">IF(ABS(D301)&lt;0.0001,"OK",IF(ABS(E301)&lt;=0.02,"Mineur","Critique"))</f>
        <v>OK</v>
      </c>
      <c r="G301" s="5" t="str">
        <f aca="false">IF(F301="OK","Aucune",IF(F301="Mineur","Ajustement mineur","Correction urgente"))</f>
        <v>Aucune</v>
      </c>
    </row>
    <row r="302" customFormat="false" ht="15" hidden="false" customHeight="true" outlineLevel="0" collapsed="false">
      <c r="A302" s="5" t="s">
        <v>306</v>
      </c>
      <c r="B302" s="6" t="n">
        <v>1.0948</v>
      </c>
      <c r="C302" s="7" t="n">
        <v>1.0948</v>
      </c>
      <c r="D302" s="8" t="n">
        <f aca="false">C302-B302</f>
        <v>0</v>
      </c>
      <c r="E302" s="9" t="n">
        <f aca="false">IF(B302=0,0,(C302-B302)/B302)</f>
        <v>0</v>
      </c>
      <c r="F302" s="10" t="str">
        <f aca="false">IF(ABS(D302)&lt;0.0001,"OK",IF(ABS(E302)&lt;=0.02,"Mineur","Critique"))</f>
        <v>OK</v>
      </c>
      <c r="G302" s="5" t="str">
        <f aca="false">IF(F302="OK","Aucune",IF(F302="Mineur","Ajustement mineur","Correction urgente"))</f>
        <v>Aucune</v>
      </c>
    </row>
    <row r="303" customFormat="false" ht="15" hidden="false" customHeight="true" outlineLevel="0" collapsed="false">
      <c r="A303" s="5" t="s">
        <v>307</v>
      </c>
      <c r="B303" s="6" t="n">
        <v>0.9343</v>
      </c>
      <c r="C303" s="7" t="n">
        <v>0.9343</v>
      </c>
      <c r="D303" s="8" t="n">
        <f aca="false">C303-B303</f>
        <v>0</v>
      </c>
      <c r="E303" s="9" t="n">
        <f aca="false">IF(B303=0,0,(C303-B303)/B303)</f>
        <v>0</v>
      </c>
      <c r="F303" s="10" t="str">
        <f aca="false">IF(ABS(D303)&lt;0.0001,"OK",IF(ABS(E303)&lt;=0.02,"Mineur","Critique"))</f>
        <v>OK</v>
      </c>
      <c r="G303" s="5" t="str">
        <f aca="false">IF(F303="OK","Aucune",IF(F303="Mineur","Ajustement mineur","Correction urgente"))</f>
        <v>Aucune</v>
      </c>
    </row>
    <row r="304" customFormat="false" ht="15" hidden="false" customHeight="true" outlineLevel="0" collapsed="false">
      <c r="A304" s="5" t="s">
        <v>308</v>
      </c>
      <c r="B304" s="6" t="n">
        <v>1.1069</v>
      </c>
      <c r="C304" s="7" t="n">
        <v>1.0596</v>
      </c>
      <c r="D304" s="8" t="n">
        <f aca="false">C304-B304</f>
        <v>-0.0472999999999999</v>
      </c>
      <c r="E304" s="9" t="n">
        <f aca="false">IF(B304=0,0,(C304-B304)/B304)</f>
        <v>-0.0427319541060619</v>
      </c>
      <c r="F304" s="10" t="str">
        <f aca="false">IF(ABS(D304)&lt;0.0001,"OK",IF(ABS(E304)&lt;=0.02,"Mineur","Critique"))</f>
        <v>Critique</v>
      </c>
      <c r="G304" s="5" t="str">
        <f aca="false">IF(F304="OK","Aucune",IF(F304="Mineur","Ajustement mineur","Correction urgente"))</f>
        <v>Correction urgente</v>
      </c>
    </row>
  </sheetData>
  <autoFilter ref="A4:G304"/>
  <mergeCells count="2">
    <mergeCell ref="A1:G1"/>
    <mergeCell ref="A2:G2"/>
  </mergeCells>
  <conditionalFormatting sqref="F5:F304">
    <cfRule type="cellIs" priority="2" operator="equal" aboveAverage="0" equalAverage="0" bottom="0" percent="0" rank="0" text="" dxfId="11">
      <formula>"OK"</formula>
    </cfRule>
    <cfRule type="cellIs" priority="3" operator="equal" aboveAverage="0" equalAverage="0" bottom="0" percent="0" rank="0" text="" dxfId="12">
      <formula>"Mineur"</formula>
    </cfRule>
    <cfRule type="cellIs" priority="4" operator="equal" aboveAverage="0" equalAverage="0" bottom="0" percent="0" rank="0" text="" dxfId="13">
      <formula>"Critique"</formula>
    </cfRule>
  </conditionalFormatting>
  <conditionalFormatting sqref="E5:E304">
    <cfRule type="dataBar" priority="5">
      <dataBar showValue="1" minLength="10" maxLength="90">
        <cfvo type="num" val="-0.1"/>
        <cfvo type="num" val="0.1"/>
        <color rgb="FF4472C4"/>
      </dataBar>
      <extLst>
        <ext xmlns:x14="http://schemas.microsoft.com/office/spreadsheetml/2009/9/main" uri="{B025F937-C7B1-47D3-B67F-A62EFF666E3E}">
          <x14:id>{872860FD-B253-42ED-A3FE-21F8E1A0B056}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2860FD-B253-42ED-A3FE-21F8E1A0B056}">
            <x14:dataBar minLength="10" maxLength="90" axisPosition="none" gradient="true">
              <x14:cfvo type="num">
                <xm:f>-0.1</xm:f>
              </x14:cfvo>
              <x14:cfvo type="num">
                <xm:f>0.1</xm:f>
              </x14:cfvo>
              <x14:negativeFillColor rgb="FF4472C4"/>
              <x14:axisColor rgb="FF000000"/>
            </x14:dataBar>
          </x14:cfRule>
          <xm:sqref>E5:E304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5" min="4" style="1" width="14"/>
    <col collapsed="false" customWidth="true" hidden="false" outlineLevel="0" max="7" min="7" style="1" width="18"/>
    <col collapsed="false" customWidth="true" hidden="false" outlineLevel="0" max="8" min="8" style="1" width="14"/>
  </cols>
  <sheetData>
    <row r="1" customFormat="false" ht="30" hidden="false" customHeight="true" outlineLevel="0" collapsed="false">
      <c r="A1" s="11" t="s">
        <v>309</v>
      </c>
      <c r="B1" s="11"/>
      <c r="C1" s="11"/>
      <c r="D1" s="11"/>
      <c r="E1" s="11"/>
      <c r="F1" s="11"/>
    </row>
    <row r="3" customFormat="false" ht="17.25" hidden="false" customHeight="true" outlineLevel="0" collapsed="false">
      <c r="A3" s="12" t="s">
        <v>310</v>
      </c>
      <c r="B3" s="13" t="n">
        <f aca="false">COUNTA('Données Contrats'!A5:A304)</f>
        <v>300</v>
      </c>
      <c r="D3" s="14" t="s">
        <v>7</v>
      </c>
      <c r="E3" s="14" t="s">
        <v>311</v>
      </c>
      <c r="G3" s="14" t="s">
        <v>312</v>
      </c>
      <c r="H3" s="14" t="s">
        <v>313</v>
      </c>
    </row>
    <row r="4" customFormat="false" ht="17.25" hidden="false" customHeight="true" outlineLevel="0" collapsed="false">
      <c r="A4" s="12" t="s">
        <v>314</v>
      </c>
      <c r="B4" s="15" t="n">
        <f aca="false">COUNTIF('Données Contrats'!F5:F304,"OK")</f>
        <v>238</v>
      </c>
      <c r="D4" s="16" t="s">
        <v>315</v>
      </c>
      <c r="E4" s="17" t="n">
        <f aca="false">B4</f>
        <v>238</v>
      </c>
      <c r="G4" s="16" t="s">
        <v>316</v>
      </c>
      <c r="H4" s="18" t="n">
        <f aca="false">COUNTIF('Données Contrats'!D5:D304,"=0")</f>
        <v>238</v>
      </c>
    </row>
    <row r="5" customFormat="false" ht="17.25" hidden="false" customHeight="true" outlineLevel="0" collapsed="false">
      <c r="A5" s="12" t="s">
        <v>317</v>
      </c>
      <c r="B5" s="19" t="n">
        <f aca="false">COUNTIF('Données Contrats'!F5:F304,"Mineur")</f>
        <v>11</v>
      </c>
      <c r="D5" s="16" t="s">
        <v>318</v>
      </c>
      <c r="E5" s="17" t="n">
        <f aca="false">B5</f>
        <v>11</v>
      </c>
      <c r="G5" s="16" t="s">
        <v>319</v>
      </c>
      <c r="H5" s="18" t="n">
        <f aca="false">COUNTIFS('Données Contrats'!D5:D304,"&gt;0",'Données Contrats'!D5:D304,"&lt;=0.01")</f>
        <v>1</v>
      </c>
    </row>
    <row r="6" customFormat="false" ht="17.25" hidden="false" customHeight="true" outlineLevel="0" collapsed="false">
      <c r="A6" s="12" t="s">
        <v>320</v>
      </c>
      <c r="B6" s="20" t="n">
        <f aca="false">COUNTIF('Données Contrats'!F5:F304,"Critique")</f>
        <v>51</v>
      </c>
      <c r="D6" s="16" t="s">
        <v>321</v>
      </c>
      <c r="E6" s="17" t="n">
        <f aca="false">B6</f>
        <v>51</v>
      </c>
      <c r="G6" s="16" t="s">
        <v>322</v>
      </c>
      <c r="H6" s="18" t="n">
        <f aca="false">COUNTIFS('Données Contrats'!D5:D304,"&gt;0.01",'Données Contrats'!D5:D304,"&lt;=0.02")</f>
        <v>4</v>
      </c>
    </row>
    <row r="7" customFormat="false" ht="17.25" hidden="false" customHeight="true" outlineLevel="0" collapsed="false">
      <c r="A7" s="12" t="s">
        <v>323</v>
      </c>
      <c r="B7" s="21" t="n">
        <f aca="false">COUNTIF('Données Contrats'!F5:F304,"OK")/COUNTA('Données Contrats'!A5:A304)</f>
        <v>0.793333333333333</v>
      </c>
      <c r="G7" s="16" t="s">
        <v>324</v>
      </c>
      <c r="H7" s="18" t="n">
        <f aca="false">COUNTIFS('Données Contrats'!D5:D304,"&gt;0.02",'Données Contrats'!D5:D304,"&lt;=0.05")</f>
        <v>18</v>
      </c>
    </row>
    <row r="8" customFormat="false" ht="17.25" hidden="false" customHeight="true" outlineLevel="0" collapsed="false">
      <c r="A8" s="12" t="s">
        <v>325</v>
      </c>
      <c r="B8" s="22" t="n">
        <f aca="false">SUMPRODUCT(ABS('Données Contrats'!D5:D304))/COUNTA('Données Contrats'!A5:A304)</f>
        <v>0.007956</v>
      </c>
      <c r="G8" s="16" t="s">
        <v>326</v>
      </c>
      <c r="H8" s="18" t="n">
        <f aca="false">COUNTIF('Données Contrats'!D5:D304,"&gt;0.05")</f>
        <v>8</v>
      </c>
    </row>
    <row r="9" customFormat="false" ht="17.25" hidden="false" customHeight="true" outlineLevel="0" collapsed="false">
      <c r="A9" s="12" t="s">
        <v>327</v>
      </c>
      <c r="B9" s="22" t="n">
        <f aca="false">MAX('Données Contrats'!D5:D304)</f>
        <v>0.0975999999999999</v>
      </c>
      <c r="G9" s="16" t="s">
        <v>328</v>
      </c>
      <c r="H9" s="18" t="n">
        <f aca="false">COUNTIF('Données Contrats'!D5:D304,"&lt;0")</f>
        <v>31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G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6" min="5" style="1" width="14"/>
    <col collapsed="false" customWidth="true" hidden="false" outlineLevel="0" max="7" min="7" style="1" width="26"/>
  </cols>
  <sheetData>
    <row r="1" customFormat="false" ht="30" hidden="false" customHeight="true" outlineLevel="0" collapsed="false">
      <c r="A1" s="11" t="s">
        <v>329</v>
      </c>
      <c r="B1" s="11"/>
      <c r="C1" s="11"/>
      <c r="D1" s="11"/>
      <c r="E1" s="11"/>
      <c r="F1" s="11"/>
      <c r="G1" s="11"/>
    </row>
    <row r="2" customFormat="false" ht="15" hidden="false" customHeight="true" outlineLevel="0" collapsed="false">
      <c r="A2" s="23" t="s">
        <v>330</v>
      </c>
      <c r="B2" s="23"/>
      <c r="C2" s="23"/>
      <c r="D2" s="23"/>
      <c r="E2" s="23"/>
      <c r="F2" s="23"/>
      <c r="G2" s="23"/>
    </row>
    <row r="4" customFormat="false" ht="15" hidden="false" customHeight="true" outlineLevel="0" collapsed="false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24" t="s">
        <v>331</v>
      </c>
    </row>
    <row r="5" customFormat="false" ht="15" hidden="false" customHeight="true" outlineLevel="0" collapsed="false">
      <c r="A5" s="5" t="str">
        <f aca="false">'Données Contrats'!A5</f>
        <v>CTR-10001</v>
      </c>
      <c r="B5" s="7" t="n">
        <f aca="false">'Données Contrats'!B5</f>
        <v>1</v>
      </c>
      <c r="C5" s="7" t="n">
        <f aca="false">'Données Contrats'!C5</f>
        <v>1</v>
      </c>
      <c r="D5" s="25" t="n">
        <f aca="false">'Données Contrats'!D5</f>
        <v>0</v>
      </c>
      <c r="E5" s="26" t="n">
        <f aca="false">'Données Contrats'!E5</f>
        <v>0</v>
      </c>
      <c r="F5" s="5" t="str">
        <f aca="false">'Données Contrats'!F5</f>
        <v>OK</v>
      </c>
      <c r="G5" s="27" t="str">
        <f aca="false">IF(F5="OK","-",'Données Contrats'!B5)</f>
        <v>-</v>
      </c>
    </row>
    <row r="6" customFormat="false" ht="15" hidden="false" customHeight="true" outlineLevel="0" collapsed="false">
      <c r="A6" s="5" t="str">
        <f aca="false">'Données Contrats'!A6</f>
        <v>CTR-10002</v>
      </c>
      <c r="B6" s="7" t="n">
        <f aca="false">'Données Contrats'!B6</f>
        <v>1.0333</v>
      </c>
      <c r="C6" s="7" t="n">
        <f aca="false">'Données Contrats'!C6</f>
        <v>1.0602</v>
      </c>
      <c r="D6" s="25" t="n">
        <f aca="false">'Données Contrats'!D6</f>
        <v>0.0268999999999999</v>
      </c>
      <c r="E6" s="26" t="n">
        <f aca="false">'Données Contrats'!E6</f>
        <v>0.0260330978418658</v>
      </c>
      <c r="F6" s="5" t="str">
        <f aca="false">'Données Contrats'!F6</f>
        <v>Critique</v>
      </c>
      <c r="G6" s="27" t="n">
        <f aca="false">IF(F6="OK","-",'Données Contrats'!B6)</f>
        <v>1.0333</v>
      </c>
    </row>
    <row r="7" customFormat="false" ht="15" hidden="false" customHeight="true" outlineLevel="0" collapsed="false">
      <c r="A7" s="5" t="str">
        <f aca="false">'Données Contrats'!A7</f>
        <v>CTR-10003</v>
      </c>
      <c r="B7" s="7" t="n">
        <f aca="false">'Données Contrats'!B7</f>
        <v>1.0983</v>
      </c>
      <c r="C7" s="7" t="n">
        <f aca="false">'Données Contrats'!C7</f>
        <v>1.0983</v>
      </c>
      <c r="D7" s="25" t="n">
        <f aca="false">'Données Contrats'!D7</f>
        <v>0</v>
      </c>
      <c r="E7" s="26" t="n">
        <f aca="false">'Données Contrats'!E7</f>
        <v>0</v>
      </c>
      <c r="F7" s="5" t="str">
        <f aca="false">'Données Contrats'!F7</f>
        <v>OK</v>
      </c>
      <c r="G7" s="27" t="str">
        <f aca="false">IF(F7="OK","-",'Données Contrats'!B7)</f>
        <v>-</v>
      </c>
    </row>
    <row r="8" customFormat="false" ht="15" hidden="false" customHeight="true" outlineLevel="0" collapsed="false">
      <c r="A8" s="5" t="str">
        <f aca="false">'Données Contrats'!A8</f>
        <v>CTR-10004</v>
      </c>
      <c r="B8" s="7" t="n">
        <f aca="false">'Données Contrats'!B8</f>
        <v>0.952</v>
      </c>
      <c r="C8" s="7" t="n">
        <f aca="false">'Données Contrats'!C8</f>
        <v>0.952</v>
      </c>
      <c r="D8" s="25" t="n">
        <f aca="false">'Données Contrats'!D8</f>
        <v>0</v>
      </c>
      <c r="E8" s="26" t="n">
        <f aca="false">'Données Contrats'!E8</f>
        <v>0</v>
      </c>
      <c r="F8" s="5" t="str">
        <f aca="false">'Données Contrats'!F8</f>
        <v>OK</v>
      </c>
      <c r="G8" s="27" t="str">
        <f aca="false">IF(F8="OK","-",'Données Contrats'!B8)</f>
        <v>-</v>
      </c>
    </row>
    <row r="9" customFormat="false" ht="15" hidden="false" customHeight="true" outlineLevel="0" collapsed="false">
      <c r="A9" s="5" t="str">
        <f aca="false">'Données Contrats'!A9</f>
        <v>CTR-10005</v>
      </c>
      <c r="B9" s="7" t="n">
        <f aca="false">'Données Contrats'!B9</f>
        <v>0.9223</v>
      </c>
      <c r="C9" s="7" t="n">
        <f aca="false">'Données Contrats'!C9</f>
        <v>0.9223</v>
      </c>
      <c r="D9" s="25" t="n">
        <f aca="false">'Données Contrats'!D9</f>
        <v>0</v>
      </c>
      <c r="E9" s="26" t="n">
        <f aca="false">'Données Contrats'!E9</f>
        <v>0</v>
      </c>
      <c r="F9" s="5" t="str">
        <f aca="false">'Données Contrats'!F9</f>
        <v>OK</v>
      </c>
      <c r="G9" s="27" t="str">
        <f aca="false">IF(F9="OK","-",'Données Contrats'!B9)</f>
        <v>-</v>
      </c>
    </row>
    <row r="10" customFormat="false" ht="15" hidden="false" customHeight="true" outlineLevel="0" collapsed="false">
      <c r="A10" s="5" t="str">
        <f aca="false">'Données Contrats'!A10</f>
        <v>CTR-10006</v>
      </c>
      <c r="B10" s="7" t="n">
        <f aca="false">'Données Contrats'!B10</f>
        <v>1</v>
      </c>
      <c r="C10" s="7" t="n">
        <f aca="false">'Données Contrats'!C10</f>
        <v>1</v>
      </c>
      <c r="D10" s="25" t="n">
        <f aca="false">'Données Contrats'!D10</f>
        <v>0</v>
      </c>
      <c r="E10" s="26" t="n">
        <f aca="false">'Données Contrats'!E10</f>
        <v>0</v>
      </c>
      <c r="F10" s="5" t="str">
        <f aca="false">'Données Contrats'!F10</f>
        <v>OK</v>
      </c>
      <c r="G10" s="27" t="str">
        <f aca="false">IF(F10="OK","-",'Données Contrats'!B10)</f>
        <v>-</v>
      </c>
    </row>
    <row r="11" customFormat="false" ht="15" hidden="false" customHeight="true" outlineLevel="0" collapsed="false">
      <c r="A11" s="5" t="str">
        <f aca="false">'Données Contrats'!A11</f>
        <v>CTR-10007</v>
      </c>
      <c r="B11" s="7" t="n">
        <f aca="false">'Données Contrats'!B11</f>
        <v>1</v>
      </c>
      <c r="C11" s="7" t="n">
        <f aca="false">'Données Contrats'!C11</f>
        <v>1</v>
      </c>
      <c r="D11" s="25" t="n">
        <f aca="false">'Données Contrats'!D11</f>
        <v>0</v>
      </c>
      <c r="E11" s="26" t="n">
        <f aca="false">'Données Contrats'!E11</f>
        <v>0</v>
      </c>
      <c r="F11" s="5" t="str">
        <f aca="false">'Données Contrats'!F11</f>
        <v>OK</v>
      </c>
      <c r="G11" s="27" t="str">
        <f aca="false">IF(F11="OK","-",'Données Contrats'!B11)</f>
        <v>-</v>
      </c>
    </row>
    <row r="12" customFormat="false" ht="15" hidden="false" customHeight="true" outlineLevel="0" collapsed="false">
      <c r="A12" s="5" t="str">
        <f aca="false">'Données Contrats'!A12</f>
        <v>CTR-10008</v>
      </c>
      <c r="B12" s="7" t="n">
        <f aca="false">'Données Contrats'!B12</f>
        <v>1.1149</v>
      </c>
      <c r="C12" s="7" t="n">
        <f aca="false">'Données Contrats'!C12</f>
        <v>1.1149</v>
      </c>
      <c r="D12" s="25" t="n">
        <f aca="false">'Données Contrats'!D12</f>
        <v>0</v>
      </c>
      <c r="E12" s="26" t="n">
        <f aca="false">'Données Contrats'!E12</f>
        <v>0</v>
      </c>
      <c r="F12" s="5" t="str">
        <f aca="false">'Données Contrats'!F12</f>
        <v>OK</v>
      </c>
      <c r="G12" s="27" t="str">
        <f aca="false">IF(F12="OK","-",'Données Contrats'!B12)</f>
        <v>-</v>
      </c>
    </row>
    <row r="13" customFormat="false" ht="15" hidden="false" customHeight="true" outlineLevel="0" collapsed="false">
      <c r="A13" s="5" t="str">
        <f aca="false">'Données Contrats'!A13</f>
        <v>CTR-10009</v>
      </c>
      <c r="B13" s="7" t="n">
        <f aca="false">'Données Contrats'!B13</f>
        <v>1</v>
      </c>
      <c r="C13" s="7" t="n">
        <f aca="false">'Données Contrats'!C13</f>
        <v>0.9747</v>
      </c>
      <c r="D13" s="25" t="n">
        <f aca="false">'Données Contrats'!D13</f>
        <v>-0.0253</v>
      </c>
      <c r="E13" s="26" t="n">
        <f aca="false">'Données Contrats'!E13</f>
        <v>-0.0253</v>
      </c>
      <c r="F13" s="5" t="str">
        <f aca="false">'Données Contrats'!F13</f>
        <v>Critique</v>
      </c>
      <c r="G13" s="27" t="n">
        <f aca="false">IF(F13="OK","-",'Données Contrats'!B13)</f>
        <v>1</v>
      </c>
    </row>
    <row r="14" customFormat="false" ht="15" hidden="false" customHeight="true" outlineLevel="0" collapsed="false">
      <c r="A14" s="5" t="str">
        <f aca="false">'Données Contrats'!A14</f>
        <v>CTR-10010</v>
      </c>
      <c r="B14" s="7" t="n">
        <f aca="false">'Données Contrats'!B14</f>
        <v>1</v>
      </c>
      <c r="C14" s="7" t="n">
        <f aca="false">'Données Contrats'!C14</f>
        <v>0.976</v>
      </c>
      <c r="D14" s="25" t="n">
        <f aca="false">'Données Contrats'!D14</f>
        <v>-0.024</v>
      </c>
      <c r="E14" s="26" t="n">
        <f aca="false">'Données Contrats'!E14</f>
        <v>-0.024</v>
      </c>
      <c r="F14" s="5" t="str">
        <f aca="false">'Données Contrats'!F14</f>
        <v>Critique</v>
      </c>
      <c r="G14" s="27" t="n">
        <f aca="false">IF(F14="OK","-",'Données Contrats'!B14)</f>
        <v>1</v>
      </c>
    </row>
    <row r="15" customFormat="false" ht="15" hidden="false" customHeight="true" outlineLevel="0" collapsed="false">
      <c r="A15" s="5" t="str">
        <f aca="false">'Données Contrats'!A15</f>
        <v>CTR-10011</v>
      </c>
      <c r="B15" s="7" t="n">
        <f aca="false">'Données Contrats'!B15</f>
        <v>1</v>
      </c>
      <c r="C15" s="7" t="n">
        <f aca="false">'Données Contrats'!C15</f>
        <v>1</v>
      </c>
      <c r="D15" s="25" t="n">
        <f aca="false">'Données Contrats'!D15</f>
        <v>0</v>
      </c>
      <c r="E15" s="26" t="n">
        <f aca="false">'Données Contrats'!E15</f>
        <v>0</v>
      </c>
      <c r="F15" s="5" t="str">
        <f aca="false">'Données Contrats'!F15</f>
        <v>OK</v>
      </c>
      <c r="G15" s="27" t="str">
        <f aca="false">IF(F15="OK","-",'Données Contrats'!B15)</f>
        <v>-</v>
      </c>
    </row>
    <row r="16" customFormat="false" ht="15" hidden="false" customHeight="true" outlineLevel="0" collapsed="false">
      <c r="A16" s="5" t="str">
        <f aca="false">'Données Contrats'!A16</f>
        <v>CTR-10012</v>
      </c>
      <c r="B16" s="7" t="n">
        <f aca="false">'Données Contrats'!B16</f>
        <v>1.1112</v>
      </c>
      <c r="C16" s="7" t="n">
        <f aca="false">'Données Contrats'!C16</f>
        <v>1.1112</v>
      </c>
      <c r="D16" s="25" t="n">
        <f aca="false">'Données Contrats'!D16</f>
        <v>0</v>
      </c>
      <c r="E16" s="26" t="n">
        <f aca="false">'Données Contrats'!E16</f>
        <v>0</v>
      </c>
      <c r="F16" s="5" t="str">
        <f aca="false">'Données Contrats'!F16</f>
        <v>OK</v>
      </c>
      <c r="G16" s="27" t="str">
        <f aca="false">IF(F16="OK","-",'Données Contrats'!B16)</f>
        <v>-</v>
      </c>
    </row>
    <row r="17" customFormat="false" ht="15" hidden="false" customHeight="true" outlineLevel="0" collapsed="false">
      <c r="A17" s="5" t="str">
        <f aca="false">'Données Contrats'!A17</f>
        <v>CTR-10013</v>
      </c>
      <c r="B17" s="7" t="n">
        <f aca="false">'Données Contrats'!B17</f>
        <v>1.0422</v>
      </c>
      <c r="C17" s="7" t="n">
        <f aca="false">'Données Contrats'!C17</f>
        <v>1.0422</v>
      </c>
      <c r="D17" s="25" t="n">
        <f aca="false">'Données Contrats'!D17</f>
        <v>0</v>
      </c>
      <c r="E17" s="26" t="n">
        <f aca="false">'Données Contrats'!E17</f>
        <v>0</v>
      </c>
      <c r="F17" s="5" t="str">
        <f aca="false">'Données Contrats'!F17</f>
        <v>OK</v>
      </c>
      <c r="G17" s="27" t="str">
        <f aca="false">IF(F17="OK","-",'Données Contrats'!B17)</f>
        <v>-</v>
      </c>
    </row>
    <row r="18" customFormat="false" ht="15" hidden="false" customHeight="true" outlineLevel="0" collapsed="false">
      <c r="A18" s="5" t="str">
        <f aca="false">'Données Contrats'!A18</f>
        <v>CTR-10014</v>
      </c>
      <c r="B18" s="7" t="n">
        <f aca="false">'Données Contrats'!B18</f>
        <v>1.0551</v>
      </c>
      <c r="C18" s="7" t="n">
        <f aca="false">'Données Contrats'!C18</f>
        <v>1.0551</v>
      </c>
      <c r="D18" s="25" t="n">
        <f aca="false">'Données Contrats'!D18</f>
        <v>0</v>
      </c>
      <c r="E18" s="26" t="n">
        <f aca="false">'Données Contrats'!E18</f>
        <v>0</v>
      </c>
      <c r="F18" s="5" t="str">
        <f aca="false">'Données Contrats'!F18</f>
        <v>OK</v>
      </c>
      <c r="G18" s="27" t="str">
        <f aca="false">IF(F18="OK","-",'Données Contrats'!B18)</f>
        <v>-</v>
      </c>
    </row>
    <row r="19" customFormat="false" ht="15" hidden="false" customHeight="true" outlineLevel="0" collapsed="false">
      <c r="A19" s="5" t="str">
        <f aca="false">'Données Contrats'!A19</f>
        <v>CTR-10015</v>
      </c>
      <c r="B19" s="7" t="n">
        <f aca="false">'Données Contrats'!B19</f>
        <v>0.9176</v>
      </c>
      <c r="C19" s="7" t="n">
        <f aca="false">'Données Contrats'!C19</f>
        <v>0.9176</v>
      </c>
      <c r="D19" s="25" t="n">
        <f aca="false">'Données Contrats'!D19</f>
        <v>0</v>
      </c>
      <c r="E19" s="26" t="n">
        <f aca="false">'Données Contrats'!E19</f>
        <v>0</v>
      </c>
      <c r="F19" s="5" t="str">
        <f aca="false">'Données Contrats'!F19</f>
        <v>OK</v>
      </c>
      <c r="G19" s="27" t="str">
        <f aca="false">IF(F19="OK","-",'Données Contrats'!B19)</f>
        <v>-</v>
      </c>
    </row>
    <row r="20" customFormat="false" ht="15" hidden="false" customHeight="true" outlineLevel="0" collapsed="false">
      <c r="A20" s="5" t="str">
        <f aca="false">'Données Contrats'!A20</f>
        <v>CTR-10016</v>
      </c>
      <c r="B20" s="7" t="n">
        <f aca="false">'Données Contrats'!B20</f>
        <v>1</v>
      </c>
      <c r="C20" s="7" t="n">
        <f aca="false">'Données Contrats'!C20</f>
        <v>1</v>
      </c>
      <c r="D20" s="25" t="n">
        <f aca="false">'Données Contrats'!D20</f>
        <v>0</v>
      </c>
      <c r="E20" s="26" t="n">
        <f aca="false">'Données Contrats'!E20</f>
        <v>0</v>
      </c>
      <c r="F20" s="5" t="str">
        <f aca="false">'Données Contrats'!F20</f>
        <v>OK</v>
      </c>
      <c r="G20" s="27" t="str">
        <f aca="false">IF(F20="OK","-",'Données Contrats'!B20)</f>
        <v>-</v>
      </c>
    </row>
    <row r="21" customFormat="false" ht="15" hidden="false" customHeight="true" outlineLevel="0" collapsed="false">
      <c r="A21" s="5" t="str">
        <f aca="false">'Données Contrats'!A21</f>
        <v>CTR-10017</v>
      </c>
      <c r="B21" s="7" t="n">
        <f aca="false">'Données Contrats'!B21</f>
        <v>1.0937</v>
      </c>
      <c r="C21" s="7" t="n">
        <f aca="false">'Données Contrats'!C21</f>
        <v>1.0937</v>
      </c>
      <c r="D21" s="25" t="n">
        <f aca="false">'Données Contrats'!D21</f>
        <v>0</v>
      </c>
      <c r="E21" s="26" t="n">
        <f aca="false">'Données Contrats'!E21</f>
        <v>0</v>
      </c>
      <c r="F21" s="5" t="str">
        <f aca="false">'Données Contrats'!F21</f>
        <v>OK</v>
      </c>
      <c r="G21" s="27" t="str">
        <f aca="false">IF(F21="OK","-",'Données Contrats'!B21)</f>
        <v>-</v>
      </c>
    </row>
    <row r="22" customFormat="false" ht="15" hidden="false" customHeight="true" outlineLevel="0" collapsed="false">
      <c r="A22" s="5" t="str">
        <f aca="false">'Données Contrats'!A22</f>
        <v>CTR-10018</v>
      </c>
      <c r="B22" s="7" t="n">
        <f aca="false">'Données Contrats'!B22</f>
        <v>1.0714</v>
      </c>
      <c r="C22" s="7" t="n">
        <f aca="false">'Données Contrats'!C22</f>
        <v>1.0714</v>
      </c>
      <c r="D22" s="25" t="n">
        <f aca="false">'Données Contrats'!D22</f>
        <v>0</v>
      </c>
      <c r="E22" s="26" t="n">
        <f aca="false">'Données Contrats'!E22</f>
        <v>0</v>
      </c>
      <c r="F22" s="5" t="str">
        <f aca="false">'Données Contrats'!F22</f>
        <v>OK</v>
      </c>
      <c r="G22" s="27" t="str">
        <f aca="false">IF(F22="OK","-",'Données Contrats'!B22)</f>
        <v>-</v>
      </c>
    </row>
    <row r="23" customFormat="false" ht="15" hidden="false" customHeight="true" outlineLevel="0" collapsed="false">
      <c r="A23" s="5" t="str">
        <f aca="false">'Données Contrats'!A23</f>
        <v>CTR-10019</v>
      </c>
      <c r="B23" s="7" t="n">
        <f aca="false">'Données Contrats'!B23</f>
        <v>1.0521</v>
      </c>
      <c r="C23" s="7" t="n">
        <f aca="false">'Données Contrats'!C23</f>
        <v>1.0521</v>
      </c>
      <c r="D23" s="25" t="n">
        <f aca="false">'Données Contrats'!D23</f>
        <v>0</v>
      </c>
      <c r="E23" s="26" t="n">
        <f aca="false">'Données Contrats'!E23</f>
        <v>0</v>
      </c>
      <c r="F23" s="5" t="str">
        <f aca="false">'Données Contrats'!F23</f>
        <v>OK</v>
      </c>
      <c r="G23" s="27" t="str">
        <f aca="false">IF(F23="OK","-",'Données Contrats'!B23)</f>
        <v>-</v>
      </c>
    </row>
    <row r="24" customFormat="false" ht="15" hidden="false" customHeight="true" outlineLevel="0" collapsed="false">
      <c r="A24" s="5" t="str">
        <f aca="false">'Données Contrats'!A24</f>
        <v>CTR-10020</v>
      </c>
      <c r="B24" s="7" t="n">
        <f aca="false">'Données Contrats'!B24</f>
        <v>1.0757</v>
      </c>
      <c r="C24" s="7" t="n">
        <f aca="false">'Données Contrats'!C24</f>
        <v>1.0757</v>
      </c>
      <c r="D24" s="25" t="n">
        <f aca="false">'Données Contrats'!D24</f>
        <v>0</v>
      </c>
      <c r="E24" s="26" t="n">
        <f aca="false">'Données Contrats'!E24</f>
        <v>0</v>
      </c>
      <c r="F24" s="5" t="str">
        <f aca="false">'Données Contrats'!F24</f>
        <v>OK</v>
      </c>
      <c r="G24" s="27" t="str">
        <f aca="false">IF(F24="OK","-",'Données Contrats'!B24)</f>
        <v>-</v>
      </c>
    </row>
    <row r="25" customFormat="false" ht="15" hidden="false" customHeight="true" outlineLevel="0" collapsed="false">
      <c r="A25" s="5" t="str">
        <f aca="false">'Données Contrats'!A25</f>
        <v>CTR-10021</v>
      </c>
      <c r="B25" s="7" t="n">
        <f aca="false">'Données Contrats'!B25</f>
        <v>1.1497</v>
      </c>
      <c r="C25" s="7" t="n">
        <f aca="false">'Données Contrats'!C25</f>
        <v>1.1497</v>
      </c>
      <c r="D25" s="25" t="n">
        <f aca="false">'Données Contrats'!D25</f>
        <v>0</v>
      </c>
      <c r="E25" s="26" t="n">
        <f aca="false">'Données Contrats'!E25</f>
        <v>0</v>
      </c>
      <c r="F25" s="5" t="str">
        <f aca="false">'Données Contrats'!F25</f>
        <v>OK</v>
      </c>
      <c r="G25" s="27" t="str">
        <f aca="false">IF(F25="OK","-",'Données Contrats'!B25)</f>
        <v>-</v>
      </c>
    </row>
    <row r="26" customFormat="false" ht="15" hidden="false" customHeight="true" outlineLevel="0" collapsed="false">
      <c r="A26" s="5" t="str">
        <f aca="false">'Données Contrats'!A26</f>
        <v>CTR-10022</v>
      </c>
      <c r="B26" s="7" t="n">
        <f aca="false">'Données Contrats'!B26</f>
        <v>0.9605</v>
      </c>
      <c r="C26" s="7" t="n">
        <f aca="false">'Données Contrats'!C26</f>
        <v>0.9605</v>
      </c>
      <c r="D26" s="25" t="n">
        <f aca="false">'Données Contrats'!D26</f>
        <v>0</v>
      </c>
      <c r="E26" s="26" t="n">
        <f aca="false">'Données Contrats'!E26</f>
        <v>0</v>
      </c>
      <c r="F26" s="5" t="str">
        <f aca="false">'Données Contrats'!F26</f>
        <v>OK</v>
      </c>
      <c r="G26" s="27" t="str">
        <f aca="false">IF(F26="OK","-",'Données Contrats'!B26)</f>
        <v>-</v>
      </c>
    </row>
    <row r="27" customFormat="false" ht="15" hidden="false" customHeight="true" outlineLevel="0" collapsed="false">
      <c r="A27" s="5" t="str">
        <f aca="false">'Données Contrats'!A27</f>
        <v>CTR-10023</v>
      </c>
      <c r="B27" s="7" t="n">
        <f aca="false">'Données Contrats'!B27</f>
        <v>0.9634</v>
      </c>
      <c r="C27" s="7" t="n">
        <f aca="false">'Données Contrats'!C27</f>
        <v>0.9634</v>
      </c>
      <c r="D27" s="25" t="n">
        <f aca="false">'Données Contrats'!D27</f>
        <v>0</v>
      </c>
      <c r="E27" s="26" t="n">
        <f aca="false">'Données Contrats'!E27</f>
        <v>0</v>
      </c>
      <c r="F27" s="5" t="str">
        <f aca="false">'Données Contrats'!F27</f>
        <v>OK</v>
      </c>
      <c r="G27" s="27" t="str">
        <f aca="false">IF(F27="OK","-",'Données Contrats'!B27)</f>
        <v>-</v>
      </c>
    </row>
    <row r="28" customFormat="false" ht="15" hidden="false" customHeight="true" outlineLevel="0" collapsed="false">
      <c r="A28" s="5" t="str">
        <f aca="false">'Données Contrats'!A28</f>
        <v>CTR-10024</v>
      </c>
      <c r="B28" s="7" t="n">
        <f aca="false">'Données Contrats'!B28</f>
        <v>1</v>
      </c>
      <c r="C28" s="7" t="n">
        <f aca="false">'Données Contrats'!C28</f>
        <v>1</v>
      </c>
      <c r="D28" s="25" t="n">
        <f aca="false">'Données Contrats'!D28</f>
        <v>0</v>
      </c>
      <c r="E28" s="26" t="n">
        <f aca="false">'Données Contrats'!E28</f>
        <v>0</v>
      </c>
      <c r="F28" s="5" t="str">
        <f aca="false">'Données Contrats'!F28</f>
        <v>OK</v>
      </c>
      <c r="G28" s="27" t="str">
        <f aca="false">IF(F28="OK","-",'Données Contrats'!B28)</f>
        <v>-</v>
      </c>
    </row>
    <row r="29" customFormat="false" ht="15" hidden="false" customHeight="true" outlineLevel="0" collapsed="false">
      <c r="A29" s="5" t="str">
        <f aca="false">'Données Contrats'!A29</f>
        <v>CTR-10025</v>
      </c>
      <c r="B29" s="7" t="n">
        <f aca="false">'Données Contrats'!B29</f>
        <v>1</v>
      </c>
      <c r="C29" s="7" t="n">
        <f aca="false">'Données Contrats'!C29</f>
        <v>1</v>
      </c>
      <c r="D29" s="25" t="n">
        <f aca="false">'Données Contrats'!D29</f>
        <v>0</v>
      </c>
      <c r="E29" s="26" t="n">
        <f aca="false">'Données Contrats'!E29</f>
        <v>0</v>
      </c>
      <c r="F29" s="5" t="str">
        <f aca="false">'Données Contrats'!F29</f>
        <v>OK</v>
      </c>
      <c r="G29" s="27" t="str">
        <f aca="false">IF(F29="OK","-",'Données Contrats'!B29)</f>
        <v>-</v>
      </c>
    </row>
    <row r="30" customFormat="false" ht="15" hidden="false" customHeight="true" outlineLevel="0" collapsed="false">
      <c r="A30" s="5" t="str">
        <f aca="false">'Données Contrats'!A30</f>
        <v>CTR-10026</v>
      </c>
      <c r="B30" s="7" t="n">
        <f aca="false">'Données Contrats'!B30</f>
        <v>1.144</v>
      </c>
      <c r="C30" s="7" t="n">
        <f aca="false">'Données Contrats'!C30</f>
        <v>1.144</v>
      </c>
      <c r="D30" s="25" t="n">
        <f aca="false">'Données Contrats'!D30</f>
        <v>0</v>
      </c>
      <c r="E30" s="26" t="n">
        <f aca="false">'Données Contrats'!E30</f>
        <v>0</v>
      </c>
      <c r="F30" s="5" t="str">
        <f aca="false">'Données Contrats'!F30</f>
        <v>OK</v>
      </c>
      <c r="G30" s="27" t="str">
        <f aca="false">IF(F30="OK","-",'Données Contrats'!B30)</f>
        <v>-</v>
      </c>
    </row>
    <row r="31" customFormat="false" ht="15" hidden="false" customHeight="true" outlineLevel="0" collapsed="false">
      <c r="A31" s="5" t="str">
        <f aca="false">'Données Contrats'!A31</f>
        <v>CTR-10027</v>
      </c>
      <c r="B31" s="7" t="n">
        <f aca="false">'Données Contrats'!B31</f>
        <v>0.94</v>
      </c>
      <c r="C31" s="7" t="n">
        <f aca="false">'Données Contrats'!C31</f>
        <v>0.9756</v>
      </c>
      <c r="D31" s="25" t="n">
        <f aca="false">'Données Contrats'!D31</f>
        <v>0.0356000000000001</v>
      </c>
      <c r="E31" s="26" t="n">
        <f aca="false">'Données Contrats'!E31</f>
        <v>0.037872340425532</v>
      </c>
      <c r="F31" s="5" t="str">
        <f aca="false">'Données Contrats'!F31</f>
        <v>Critique</v>
      </c>
      <c r="G31" s="27" t="n">
        <f aca="false">IF(F31="OK","-",'Données Contrats'!B31)</f>
        <v>0.94</v>
      </c>
    </row>
    <row r="32" customFormat="false" ht="15" hidden="false" customHeight="true" outlineLevel="0" collapsed="false">
      <c r="A32" s="5" t="str">
        <f aca="false">'Données Contrats'!A32</f>
        <v>CTR-10028</v>
      </c>
      <c r="B32" s="7" t="n">
        <f aca="false">'Données Contrats'!B32</f>
        <v>1.041</v>
      </c>
      <c r="C32" s="7" t="n">
        <f aca="false">'Données Contrats'!C32</f>
        <v>1.041</v>
      </c>
      <c r="D32" s="25" t="n">
        <f aca="false">'Données Contrats'!D32</f>
        <v>0</v>
      </c>
      <c r="E32" s="26" t="n">
        <f aca="false">'Données Contrats'!E32</f>
        <v>0</v>
      </c>
      <c r="F32" s="5" t="str">
        <f aca="false">'Données Contrats'!F32</f>
        <v>OK</v>
      </c>
      <c r="G32" s="27" t="str">
        <f aca="false">IF(F32="OK","-",'Données Contrats'!B32)</f>
        <v>-</v>
      </c>
    </row>
    <row r="33" customFormat="false" ht="15" hidden="false" customHeight="true" outlineLevel="0" collapsed="false">
      <c r="A33" s="5" t="str">
        <f aca="false">'Données Contrats'!A33</f>
        <v>CTR-10029</v>
      </c>
      <c r="B33" s="7" t="n">
        <f aca="false">'Données Contrats'!B33</f>
        <v>1</v>
      </c>
      <c r="C33" s="7" t="n">
        <f aca="false">'Données Contrats'!C33</f>
        <v>1</v>
      </c>
      <c r="D33" s="25" t="n">
        <f aca="false">'Données Contrats'!D33</f>
        <v>0</v>
      </c>
      <c r="E33" s="26" t="n">
        <f aca="false">'Données Contrats'!E33</f>
        <v>0</v>
      </c>
      <c r="F33" s="5" t="str">
        <f aca="false">'Données Contrats'!F33</f>
        <v>OK</v>
      </c>
      <c r="G33" s="27" t="str">
        <f aca="false">IF(F33="OK","-",'Données Contrats'!B33)</f>
        <v>-</v>
      </c>
    </row>
    <row r="34" customFormat="false" ht="15" hidden="false" customHeight="true" outlineLevel="0" collapsed="false">
      <c r="A34" s="5" t="str">
        <f aca="false">'Données Contrats'!A34</f>
        <v>CTR-10030</v>
      </c>
      <c r="B34" s="7" t="n">
        <f aca="false">'Données Contrats'!B34</f>
        <v>0.9193</v>
      </c>
      <c r="C34" s="7" t="n">
        <f aca="false">'Données Contrats'!C34</f>
        <v>0.9193</v>
      </c>
      <c r="D34" s="25" t="n">
        <f aca="false">'Données Contrats'!D34</f>
        <v>0</v>
      </c>
      <c r="E34" s="26" t="n">
        <f aca="false">'Données Contrats'!E34</f>
        <v>0</v>
      </c>
      <c r="F34" s="5" t="str">
        <f aca="false">'Données Contrats'!F34</f>
        <v>OK</v>
      </c>
      <c r="G34" s="27" t="str">
        <f aca="false">IF(F34="OK","-",'Données Contrats'!B34)</f>
        <v>-</v>
      </c>
    </row>
    <row r="35" customFormat="false" ht="15" hidden="false" customHeight="true" outlineLevel="0" collapsed="false">
      <c r="A35" s="5" t="str">
        <f aca="false">'Données Contrats'!A35</f>
        <v>CTR-10031</v>
      </c>
      <c r="B35" s="7" t="n">
        <f aca="false">'Données Contrats'!B35</f>
        <v>1.029</v>
      </c>
      <c r="C35" s="7" t="n">
        <f aca="false">'Données Contrats'!C35</f>
        <v>1.029</v>
      </c>
      <c r="D35" s="25" t="n">
        <f aca="false">'Données Contrats'!D35</f>
        <v>0</v>
      </c>
      <c r="E35" s="26" t="n">
        <f aca="false">'Données Contrats'!E35</f>
        <v>0</v>
      </c>
      <c r="F35" s="5" t="str">
        <f aca="false">'Données Contrats'!F35</f>
        <v>OK</v>
      </c>
      <c r="G35" s="27" t="str">
        <f aca="false">IF(F35="OK","-",'Données Contrats'!B35)</f>
        <v>-</v>
      </c>
    </row>
    <row r="36" customFormat="false" ht="15" hidden="false" customHeight="true" outlineLevel="0" collapsed="false">
      <c r="A36" s="5" t="str">
        <f aca="false">'Données Contrats'!A36</f>
        <v>CTR-10032</v>
      </c>
      <c r="B36" s="7" t="n">
        <f aca="false">'Données Contrats'!B36</f>
        <v>0.9422</v>
      </c>
      <c r="C36" s="7" t="n">
        <f aca="false">'Données Contrats'!C36</f>
        <v>0.9848</v>
      </c>
      <c r="D36" s="25" t="n">
        <f aca="false">'Données Contrats'!D36</f>
        <v>0.0426</v>
      </c>
      <c r="E36" s="26" t="n">
        <f aca="false">'Données Contrats'!E36</f>
        <v>0.0452133305030779</v>
      </c>
      <c r="F36" s="5" t="str">
        <f aca="false">'Données Contrats'!F36</f>
        <v>Critique</v>
      </c>
      <c r="G36" s="27" t="n">
        <f aca="false">IF(F36="OK","-",'Données Contrats'!B36)</f>
        <v>0.9422</v>
      </c>
    </row>
    <row r="37" customFormat="false" ht="15" hidden="false" customHeight="true" outlineLevel="0" collapsed="false">
      <c r="A37" s="5" t="str">
        <f aca="false">'Données Contrats'!A37</f>
        <v>CTR-10033</v>
      </c>
      <c r="B37" s="7" t="n">
        <f aca="false">'Données Contrats'!B37</f>
        <v>1</v>
      </c>
      <c r="C37" s="7" t="n">
        <f aca="false">'Données Contrats'!C37</f>
        <v>0.9681</v>
      </c>
      <c r="D37" s="25" t="n">
        <f aca="false">'Données Contrats'!D37</f>
        <v>-0.0319</v>
      </c>
      <c r="E37" s="26" t="n">
        <f aca="false">'Données Contrats'!E37</f>
        <v>-0.0319</v>
      </c>
      <c r="F37" s="5" t="str">
        <f aca="false">'Données Contrats'!F37</f>
        <v>Critique</v>
      </c>
      <c r="G37" s="27" t="n">
        <f aca="false">IF(F37="OK","-",'Données Contrats'!B37)</f>
        <v>1</v>
      </c>
    </row>
    <row r="38" customFormat="false" ht="15" hidden="false" customHeight="true" outlineLevel="0" collapsed="false">
      <c r="A38" s="5" t="str">
        <f aca="false">'Données Contrats'!A38</f>
        <v>CTR-10034</v>
      </c>
      <c r="B38" s="7" t="n">
        <f aca="false">'Données Contrats'!B38</f>
        <v>0.9471</v>
      </c>
      <c r="C38" s="7" t="n">
        <f aca="false">'Données Contrats'!C38</f>
        <v>0.9471</v>
      </c>
      <c r="D38" s="25" t="n">
        <f aca="false">'Données Contrats'!D38</f>
        <v>0</v>
      </c>
      <c r="E38" s="26" t="n">
        <f aca="false">'Données Contrats'!E38</f>
        <v>0</v>
      </c>
      <c r="F38" s="5" t="str">
        <f aca="false">'Données Contrats'!F38</f>
        <v>OK</v>
      </c>
      <c r="G38" s="27" t="str">
        <f aca="false">IF(F38="OK","-",'Données Contrats'!B38)</f>
        <v>-</v>
      </c>
    </row>
    <row r="39" customFormat="false" ht="15" hidden="false" customHeight="true" outlineLevel="0" collapsed="false">
      <c r="A39" s="5" t="str">
        <f aca="false">'Données Contrats'!A39</f>
        <v>CTR-10035</v>
      </c>
      <c r="B39" s="7" t="n">
        <f aca="false">'Données Contrats'!B39</f>
        <v>0.9566</v>
      </c>
      <c r="C39" s="7" t="n">
        <f aca="false">'Données Contrats'!C39</f>
        <v>0.9042</v>
      </c>
      <c r="D39" s="25" t="n">
        <f aca="false">'Données Contrats'!D39</f>
        <v>-0.0524</v>
      </c>
      <c r="E39" s="26" t="n">
        <f aca="false">'Données Contrats'!E39</f>
        <v>-0.0547773363997491</v>
      </c>
      <c r="F39" s="5" t="str">
        <f aca="false">'Données Contrats'!F39</f>
        <v>Critique</v>
      </c>
      <c r="G39" s="27" t="n">
        <f aca="false">IF(F39="OK","-",'Données Contrats'!B39)</f>
        <v>0.9566</v>
      </c>
    </row>
    <row r="40" customFormat="false" ht="15" hidden="false" customHeight="true" outlineLevel="0" collapsed="false">
      <c r="A40" s="5" t="str">
        <f aca="false">'Données Contrats'!A40</f>
        <v>CTR-10036</v>
      </c>
      <c r="B40" s="7" t="n">
        <f aca="false">'Données Contrats'!B40</f>
        <v>1.0372</v>
      </c>
      <c r="C40" s="7" t="n">
        <f aca="false">'Données Contrats'!C40</f>
        <v>1.0372</v>
      </c>
      <c r="D40" s="25" t="n">
        <f aca="false">'Données Contrats'!D40</f>
        <v>0</v>
      </c>
      <c r="E40" s="26" t="n">
        <f aca="false">'Données Contrats'!E40</f>
        <v>0</v>
      </c>
      <c r="F40" s="5" t="str">
        <f aca="false">'Données Contrats'!F40</f>
        <v>OK</v>
      </c>
      <c r="G40" s="27" t="str">
        <f aca="false">IF(F40="OK","-",'Données Contrats'!B40)</f>
        <v>-</v>
      </c>
    </row>
    <row r="41" customFormat="false" ht="15" hidden="false" customHeight="true" outlineLevel="0" collapsed="false">
      <c r="A41" s="5" t="str">
        <f aca="false">'Données Contrats'!A41</f>
        <v>CTR-10037</v>
      </c>
      <c r="B41" s="7" t="n">
        <f aca="false">'Données Contrats'!B41</f>
        <v>1</v>
      </c>
      <c r="C41" s="7" t="n">
        <f aca="false">'Données Contrats'!C41</f>
        <v>1</v>
      </c>
      <c r="D41" s="25" t="n">
        <f aca="false">'Données Contrats'!D41</f>
        <v>0</v>
      </c>
      <c r="E41" s="26" t="n">
        <f aca="false">'Données Contrats'!E41</f>
        <v>0</v>
      </c>
      <c r="F41" s="5" t="str">
        <f aca="false">'Données Contrats'!F41</f>
        <v>OK</v>
      </c>
      <c r="G41" s="27" t="str">
        <f aca="false">IF(F41="OK","-",'Données Contrats'!B41)</f>
        <v>-</v>
      </c>
    </row>
    <row r="42" customFormat="false" ht="15" hidden="false" customHeight="true" outlineLevel="0" collapsed="false">
      <c r="A42" s="5" t="str">
        <f aca="false">'Données Contrats'!A42</f>
        <v>CTR-10038</v>
      </c>
      <c r="B42" s="7" t="n">
        <f aca="false">'Données Contrats'!B42</f>
        <v>1</v>
      </c>
      <c r="C42" s="7" t="n">
        <f aca="false">'Données Contrats'!C42</f>
        <v>1</v>
      </c>
      <c r="D42" s="25" t="n">
        <f aca="false">'Données Contrats'!D42</f>
        <v>0</v>
      </c>
      <c r="E42" s="26" t="n">
        <f aca="false">'Données Contrats'!E42</f>
        <v>0</v>
      </c>
      <c r="F42" s="5" t="str">
        <f aca="false">'Données Contrats'!F42</f>
        <v>OK</v>
      </c>
      <c r="G42" s="27" t="str">
        <f aca="false">IF(F42="OK","-",'Données Contrats'!B42)</f>
        <v>-</v>
      </c>
    </row>
    <row r="43" customFormat="false" ht="15" hidden="false" customHeight="true" outlineLevel="0" collapsed="false">
      <c r="A43" s="5" t="str">
        <f aca="false">'Données Contrats'!A43</f>
        <v>CTR-10039</v>
      </c>
      <c r="B43" s="7" t="n">
        <f aca="false">'Données Contrats'!B43</f>
        <v>1.027</v>
      </c>
      <c r="C43" s="7" t="n">
        <f aca="false">'Données Contrats'!C43</f>
        <v>0.9809</v>
      </c>
      <c r="D43" s="25" t="n">
        <f aca="false">'Données Contrats'!D43</f>
        <v>-0.0460999999999999</v>
      </c>
      <c r="E43" s="26" t="n">
        <f aca="false">'Données Contrats'!E43</f>
        <v>-0.044888023369036</v>
      </c>
      <c r="F43" s="5" t="str">
        <f aca="false">'Données Contrats'!F43</f>
        <v>Critique</v>
      </c>
      <c r="G43" s="27" t="n">
        <f aca="false">IF(F43="OK","-",'Données Contrats'!B43)</f>
        <v>1.027</v>
      </c>
    </row>
    <row r="44" customFormat="false" ht="15" hidden="false" customHeight="true" outlineLevel="0" collapsed="false">
      <c r="A44" s="5" t="str">
        <f aca="false">'Données Contrats'!A44</f>
        <v>CTR-10040</v>
      </c>
      <c r="B44" s="7" t="n">
        <f aca="false">'Données Contrats'!B44</f>
        <v>1</v>
      </c>
      <c r="C44" s="7" t="n">
        <f aca="false">'Données Contrats'!C44</f>
        <v>1</v>
      </c>
      <c r="D44" s="25" t="n">
        <f aca="false">'Données Contrats'!D44</f>
        <v>0</v>
      </c>
      <c r="E44" s="26" t="n">
        <f aca="false">'Données Contrats'!E44</f>
        <v>0</v>
      </c>
      <c r="F44" s="5" t="str">
        <f aca="false">'Données Contrats'!F44</f>
        <v>OK</v>
      </c>
      <c r="G44" s="27" t="str">
        <f aca="false">IF(F44="OK","-",'Données Contrats'!B44)</f>
        <v>-</v>
      </c>
    </row>
    <row r="45" customFormat="false" ht="15" hidden="false" customHeight="true" outlineLevel="0" collapsed="false">
      <c r="A45" s="5" t="str">
        <f aca="false">'Données Contrats'!A45</f>
        <v>CTR-10041</v>
      </c>
      <c r="B45" s="7" t="n">
        <f aca="false">'Données Contrats'!B45</f>
        <v>0.9147</v>
      </c>
      <c r="C45" s="7" t="n">
        <f aca="false">'Données Contrats'!C45</f>
        <v>0.9147</v>
      </c>
      <c r="D45" s="25" t="n">
        <f aca="false">'Données Contrats'!D45</f>
        <v>0</v>
      </c>
      <c r="E45" s="26" t="n">
        <f aca="false">'Données Contrats'!E45</f>
        <v>0</v>
      </c>
      <c r="F45" s="5" t="str">
        <f aca="false">'Données Contrats'!F45</f>
        <v>OK</v>
      </c>
      <c r="G45" s="27" t="str">
        <f aca="false">IF(F45="OK","-",'Données Contrats'!B45)</f>
        <v>-</v>
      </c>
    </row>
    <row r="46" customFormat="false" ht="15" hidden="false" customHeight="true" outlineLevel="0" collapsed="false">
      <c r="A46" s="5" t="str">
        <f aca="false">'Données Contrats'!A46</f>
        <v>CTR-10042</v>
      </c>
      <c r="B46" s="7" t="n">
        <f aca="false">'Données Contrats'!B46</f>
        <v>0.9689</v>
      </c>
      <c r="C46" s="7" t="n">
        <f aca="false">'Données Contrats'!C46</f>
        <v>0.9689</v>
      </c>
      <c r="D46" s="25" t="n">
        <f aca="false">'Données Contrats'!D46</f>
        <v>0</v>
      </c>
      <c r="E46" s="26" t="n">
        <f aca="false">'Données Contrats'!E46</f>
        <v>0</v>
      </c>
      <c r="F46" s="5" t="str">
        <f aca="false">'Données Contrats'!F46</f>
        <v>OK</v>
      </c>
      <c r="G46" s="27" t="str">
        <f aca="false">IF(F46="OK","-",'Données Contrats'!B46)</f>
        <v>-</v>
      </c>
    </row>
    <row r="47" customFormat="false" ht="15" hidden="false" customHeight="true" outlineLevel="0" collapsed="false">
      <c r="A47" s="5" t="str">
        <f aca="false">'Données Contrats'!A47</f>
        <v>CTR-10043</v>
      </c>
      <c r="B47" s="7" t="n">
        <f aca="false">'Données Contrats'!B47</f>
        <v>0.9432</v>
      </c>
      <c r="C47" s="7" t="n">
        <f aca="false">'Données Contrats'!C47</f>
        <v>0.9599</v>
      </c>
      <c r="D47" s="25" t="n">
        <f aca="false">'Données Contrats'!D47</f>
        <v>0.0166999999999999</v>
      </c>
      <c r="E47" s="26" t="n">
        <f aca="false">'Données Contrats'!E47</f>
        <v>0.0177056827820186</v>
      </c>
      <c r="F47" s="5" t="str">
        <f aca="false">'Données Contrats'!F47</f>
        <v>Mineur</v>
      </c>
      <c r="G47" s="27" t="n">
        <f aca="false">IF(F47="OK","-",'Données Contrats'!B47)</f>
        <v>0.9432</v>
      </c>
    </row>
    <row r="48" customFormat="false" ht="15" hidden="false" customHeight="true" outlineLevel="0" collapsed="false">
      <c r="A48" s="5" t="str">
        <f aca="false">'Données Contrats'!A48</f>
        <v>CTR-10044</v>
      </c>
      <c r="B48" s="7" t="n">
        <f aca="false">'Données Contrats'!B48</f>
        <v>0.9692</v>
      </c>
      <c r="C48" s="7" t="n">
        <f aca="false">'Données Contrats'!C48</f>
        <v>0.9692</v>
      </c>
      <c r="D48" s="25" t="n">
        <f aca="false">'Données Contrats'!D48</f>
        <v>0</v>
      </c>
      <c r="E48" s="26" t="n">
        <f aca="false">'Données Contrats'!E48</f>
        <v>0</v>
      </c>
      <c r="F48" s="5" t="str">
        <f aca="false">'Données Contrats'!F48</f>
        <v>OK</v>
      </c>
      <c r="G48" s="27" t="str">
        <f aca="false">IF(F48="OK","-",'Données Contrats'!B48)</f>
        <v>-</v>
      </c>
    </row>
    <row r="49" customFormat="false" ht="15" hidden="false" customHeight="true" outlineLevel="0" collapsed="false">
      <c r="A49" s="5" t="str">
        <f aca="false">'Données Contrats'!A49</f>
        <v>CTR-10045</v>
      </c>
      <c r="B49" s="7" t="n">
        <f aca="false">'Données Contrats'!B49</f>
        <v>1</v>
      </c>
      <c r="C49" s="7" t="n">
        <f aca="false">'Données Contrats'!C49</f>
        <v>1</v>
      </c>
      <c r="D49" s="25" t="n">
        <f aca="false">'Données Contrats'!D49</f>
        <v>0</v>
      </c>
      <c r="E49" s="26" t="n">
        <f aca="false">'Données Contrats'!E49</f>
        <v>0</v>
      </c>
      <c r="F49" s="5" t="str">
        <f aca="false">'Données Contrats'!F49</f>
        <v>OK</v>
      </c>
      <c r="G49" s="27" t="str">
        <f aca="false">IF(F49="OK","-",'Données Contrats'!B49)</f>
        <v>-</v>
      </c>
    </row>
    <row r="50" customFormat="false" ht="15" hidden="false" customHeight="true" outlineLevel="0" collapsed="false">
      <c r="A50" s="5" t="str">
        <f aca="false">'Données Contrats'!A50</f>
        <v>CTR-10046</v>
      </c>
      <c r="B50" s="7" t="n">
        <f aca="false">'Données Contrats'!B50</f>
        <v>1.115</v>
      </c>
      <c r="C50" s="7" t="n">
        <f aca="false">'Données Contrats'!C50</f>
        <v>1.115</v>
      </c>
      <c r="D50" s="25" t="n">
        <f aca="false">'Données Contrats'!D50</f>
        <v>0</v>
      </c>
      <c r="E50" s="26" t="n">
        <f aca="false">'Données Contrats'!E50</f>
        <v>0</v>
      </c>
      <c r="F50" s="5" t="str">
        <f aca="false">'Données Contrats'!F50</f>
        <v>OK</v>
      </c>
      <c r="G50" s="27" t="str">
        <f aca="false">IF(F50="OK","-",'Données Contrats'!B50)</f>
        <v>-</v>
      </c>
    </row>
    <row r="51" customFormat="false" ht="15" hidden="false" customHeight="true" outlineLevel="0" collapsed="false">
      <c r="A51" s="5" t="str">
        <f aca="false">'Données Contrats'!A51</f>
        <v>CTR-10047</v>
      </c>
      <c r="B51" s="7" t="n">
        <f aca="false">'Données Contrats'!B51</f>
        <v>0.9389</v>
      </c>
      <c r="C51" s="7" t="n">
        <f aca="false">'Données Contrats'!C51</f>
        <v>0.9121</v>
      </c>
      <c r="D51" s="25" t="n">
        <f aca="false">'Données Contrats'!D51</f>
        <v>-0.0267999999999999</v>
      </c>
      <c r="E51" s="26" t="n">
        <f aca="false">'Données Contrats'!E51</f>
        <v>-0.0285440408989242</v>
      </c>
      <c r="F51" s="5" t="str">
        <f aca="false">'Données Contrats'!F51</f>
        <v>Critique</v>
      </c>
      <c r="G51" s="27" t="n">
        <f aca="false">IF(F51="OK","-",'Données Contrats'!B51)</f>
        <v>0.9389</v>
      </c>
    </row>
    <row r="52" customFormat="false" ht="15" hidden="false" customHeight="true" outlineLevel="0" collapsed="false">
      <c r="A52" s="5" t="str">
        <f aca="false">'Données Contrats'!A52</f>
        <v>CTR-10048</v>
      </c>
      <c r="B52" s="7" t="n">
        <f aca="false">'Données Contrats'!B52</f>
        <v>1.082</v>
      </c>
      <c r="C52" s="7" t="n">
        <f aca="false">'Données Contrats'!C52</f>
        <v>1.082</v>
      </c>
      <c r="D52" s="25" t="n">
        <f aca="false">'Données Contrats'!D52</f>
        <v>0</v>
      </c>
      <c r="E52" s="26" t="n">
        <f aca="false">'Données Contrats'!E52</f>
        <v>0</v>
      </c>
      <c r="F52" s="5" t="str">
        <f aca="false">'Données Contrats'!F52</f>
        <v>OK</v>
      </c>
      <c r="G52" s="27" t="str">
        <f aca="false">IF(F52="OK","-",'Données Contrats'!B52)</f>
        <v>-</v>
      </c>
    </row>
    <row r="53" customFormat="false" ht="15" hidden="false" customHeight="true" outlineLevel="0" collapsed="false">
      <c r="A53" s="5" t="str">
        <f aca="false">'Données Contrats'!A53</f>
        <v>CTR-10049</v>
      </c>
      <c r="B53" s="7" t="n">
        <f aca="false">'Données Contrats'!B53</f>
        <v>0.9769</v>
      </c>
      <c r="C53" s="7" t="n">
        <f aca="false">'Données Contrats'!C53</f>
        <v>0.9769</v>
      </c>
      <c r="D53" s="25" t="n">
        <f aca="false">'Données Contrats'!D53</f>
        <v>0</v>
      </c>
      <c r="E53" s="26" t="n">
        <f aca="false">'Données Contrats'!E53</f>
        <v>0</v>
      </c>
      <c r="F53" s="5" t="str">
        <f aca="false">'Données Contrats'!F53</f>
        <v>OK</v>
      </c>
      <c r="G53" s="27" t="str">
        <f aca="false">IF(F53="OK","-",'Données Contrats'!B53)</f>
        <v>-</v>
      </c>
    </row>
    <row r="54" customFormat="false" ht="15" hidden="false" customHeight="true" outlineLevel="0" collapsed="false">
      <c r="A54" s="5" t="str">
        <f aca="false">'Données Contrats'!A54</f>
        <v>CTR-10050</v>
      </c>
      <c r="B54" s="7" t="n">
        <f aca="false">'Données Contrats'!B54</f>
        <v>1</v>
      </c>
      <c r="C54" s="7" t="n">
        <f aca="false">'Données Contrats'!C54</f>
        <v>1</v>
      </c>
      <c r="D54" s="25" t="n">
        <f aca="false">'Données Contrats'!D54</f>
        <v>0</v>
      </c>
      <c r="E54" s="26" t="n">
        <f aca="false">'Données Contrats'!E54</f>
        <v>0</v>
      </c>
      <c r="F54" s="5" t="str">
        <f aca="false">'Données Contrats'!F54</f>
        <v>OK</v>
      </c>
      <c r="G54" s="27" t="str">
        <f aca="false">IF(F54="OK","-",'Données Contrats'!B54)</f>
        <v>-</v>
      </c>
    </row>
    <row r="55" customFormat="false" ht="15" hidden="false" customHeight="true" outlineLevel="0" collapsed="false">
      <c r="A55" s="5" t="str">
        <f aca="false">'Données Contrats'!A55</f>
        <v>CTR-10051</v>
      </c>
      <c r="B55" s="7" t="n">
        <f aca="false">'Données Contrats'!B55</f>
        <v>1.052</v>
      </c>
      <c r="C55" s="7" t="n">
        <f aca="false">'Données Contrats'!C55</f>
        <v>1.052</v>
      </c>
      <c r="D55" s="25" t="n">
        <f aca="false">'Données Contrats'!D55</f>
        <v>0</v>
      </c>
      <c r="E55" s="26" t="n">
        <f aca="false">'Données Contrats'!E55</f>
        <v>0</v>
      </c>
      <c r="F55" s="5" t="str">
        <f aca="false">'Données Contrats'!F55</f>
        <v>OK</v>
      </c>
      <c r="G55" s="27" t="str">
        <f aca="false">IF(F55="OK","-",'Données Contrats'!B55)</f>
        <v>-</v>
      </c>
    </row>
    <row r="56" customFormat="false" ht="15" hidden="false" customHeight="true" outlineLevel="0" collapsed="false">
      <c r="A56" s="5" t="str">
        <f aca="false">'Données Contrats'!A56</f>
        <v>CTR-10052</v>
      </c>
      <c r="B56" s="7" t="n">
        <f aca="false">'Données Contrats'!B56</f>
        <v>1.1055</v>
      </c>
      <c r="C56" s="7" t="n">
        <f aca="false">'Données Contrats'!C56</f>
        <v>1.1055</v>
      </c>
      <c r="D56" s="25" t="n">
        <f aca="false">'Données Contrats'!D56</f>
        <v>0</v>
      </c>
      <c r="E56" s="26" t="n">
        <f aca="false">'Données Contrats'!E56</f>
        <v>0</v>
      </c>
      <c r="F56" s="5" t="str">
        <f aca="false">'Données Contrats'!F56</f>
        <v>OK</v>
      </c>
      <c r="G56" s="27" t="str">
        <f aca="false">IF(F56="OK","-",'Données Contrats'!B56)</f>
        <v>-</v>
      </c>
    </row>
    <row r="57" customFormat="false" ht="15" hidden="false" customHeight="true" outlineLevel="0" collapsed="false">
      <c r="A57" s="5" t="str">
        <f aca="false">'Données Contrats'!A57</f>
        <v>CTR-10053</v>
      </c>
      <c r="B57" s="7" t="n">
        <f aca="false">'Données Contrats'!B57</f>
        <v>1.0466</v>
      </c>
      <c r="C57" s="7" t="n">
        <f aca="false">'Données Contrats'!C57</f>
        <v>1.0466</v>
      </c>
      <c r="D57" s="25" t="n">
        <f aca="false">'Données Contrats'!D57</f>
        <v>0</v>
      </c>
      <c r="E57" s="26" t="n">
        <f aca="false">'Données Contrats'!E57</f>
        <v>0</v>
      </c>
      <c r="F57" s="5" t="str">
        <f aca="false">'Données Contrats'!F57</f>
        <v>OK</v>
      </c>
      <c r="G57" s="27" t="str">
        <f aca="false">IF(F57="OK","-",'Données Contrats'!B57)</f>
        <v>-</v>
      </c>
    </row>
    <row r="58" customFormat="false" ht="15" hidden="false" customHeight="true" outlineLevel="0" collapsed="false">
      <c r="A58" s="5" t="str">
        <f aca="false">'Données Contrats'!A58</f>
        <v>CTR-10054</v>
      </c>
      <c r="B58" s="7" t="n">
        <f aca="false">'Données Contrats'!B58</f>
        <v>1.037</v>
      </c>
      <c r="C58" s="7" t="n">
        <f aca="false">'Données Contrats'!C58</f>
        <v>1.037</v>
      </c>
      <c r="D58" s="25" t="n">
        <f aca="false">'Données Contrats'!D58</f>
        <v>0</v>
      </c>
      <c r="E58" s="26" t="n">
        <f aca="false">'Données Contrats'!E58</f>
        <v>0</v>
      </c>
      <c r="F58" s="5" t="str">
        <f aca="false">'Données Contrats'!F58</f>
        <v>OK</v>
      </c>
      <c r="G58" s="27" t="str">
        <f aca="false">IF(F58="OK","-",'Données Contrats'!B58)</f>
        <v>-</v>
      </c>
    </row>
    <row r="59" customFormat="false" ht="15" hidden="false" customHeight="true" outlineLevel="0" collapsed="false">
      <c r="A59" s="5" t="str">
        <f aca="false">'Données Contrats'!A59</f>
        <v>CTR-10055</v>
      </c>
      <c r="B59" s="7" t="n">
        <f aca="false">'Données Contrats'!B59</f>
        <v>0.9253</v>
      </c>
      <c r="C59" s="7" t="n">
        <f aca="false">'Données Contrats'!C59</f>
        <v>0.9253</v>
      </c>
      <c r="D59" s="25" t="n">
        <f aca="false">'Données Contrats'!D59</f>
        <v>0</v>
      </c>
      <c r="E59" s="26" t="n">
        <f aca="false">'Données Contrats'!E59</f>
        <v>0</v>
      </c>
      <c r="F59" s="5" t="str">
        <f aca="false">'Données Contrats'!F59</f>
        <v>OK</v>
      </c>
      <c r="G59" s="27" t="str">
        <f aca="false">IF(F59="OK","-",'Données Contrats'!B59)</f>
        <v>-</v>
      </c>
    </row>
    <row r="60" customFormat="false" ht="15" hidden="false" customHeight="true" outlineLevel="0" collapsed="false">
      <c r="A60" s="5" t="str">
        <f aca="false">'Données Contrats'!A60</f>
        <v>CTR-10056</v>
      </c>
      <c r="B60" s="7" t="n">
        <f aca="false">'Données Contrats'!B60</f>
        <v>0.9497</v>
      </c>
      <c r="C60" s="7" t="n">
        <f aca="false">'Données Contrats'!C60</f>
        <v>0.9497</v>
      </c>
      <c r="D60" s="25" t="n">
        <f aca="false">'Données Contrats'!D60</f>
        <v>0</v>
      </c>
      <c r="E60" s="26" t="n">
        <f aca="false">'Données Contrats'!E60</f>
        <v>0</v>
      </c>
      <c r="F60" s="5" t="str">
        <f aca="false">'Données Contrats'!F60</f>
        <v>OK</v>
      </c>
      <c r="G60" s="27" t="str">
        <f aca="false">IF(F60="OK","-",'Données Contrats'!B60)</f>
        <v>-</v>
      </c>
    </row>
    <row r="61" customFormat="false" ht="15" hidden="false" customHeight="true" outlineLevel="0" collapsed="false">
      <c r="A61" s="5" t="str">
        <f aca="false">'Données Contrats'!A61</f>
        <v>CTR-10057</v>
      </c>
      <c r="B61" s="7" t="n">
        <f aca="false">'Données Contrats'!B61</f>
        <v>1</v>
      </c>
      <c r="C61" s="7" t="n">
        <f aca="false">'Données Contrats'!C61</f>
        <v>1</v>
      </c>
      <c r="D61" s="25" t="n">
        <f aca="false">'Données Contrats'!D61</f>
        <v>0</v>
      </c>
      <c r="E61" s="26" t="n">
        <f aca="false">'Données Contrats'!E61</f>
        <v>0</v>
      </c>
      <c r="F61" s="5" t="str">
        <f aca="false">'Données Contrats'!F61</f>
        <v>OK</v>
      </c>
      <c r="G61" s="27" t="str">
        <f aca="false">IF(F61="OK","-",'Données Contrats'!B61)</f>
        <v>-</v>
      </c>
    </row>
    <row r="62" customFormat="false" ht="15" hidden="false" customHeight="true" outlineLevel="0" collapsed="false">
      <c r="A62" s="5" t="str">
        <f aca="false">'Données Contrats'!A62</f>
        <v>CTR-10058</v>
      </c>
      <c r="B62" s="7" t="n">
        <f aca="false">'Données Contrats'!B62</f>
        <v>1.1483</v>
      </c>
      <c r="C62" s="7" t="n">
        <f aca="false">'Données Contrats'!C62</f>
        <v>1.1483</v>
      </c>
      <c r="D62" s="25" t="n">
        <f aca="false">'Données Contrats'!D62</f>
        <v>0</v>
      </c>
      <c r="E62" s="26" t="n">
        <f aca="false">'Données Contrats'!E62</f>
        <v>0</v>
      </c>
      <c r="F62" s="5" t="str">
        <f aca="false">'Données Contrats'!F62</f>
        <v>OK</v>
      </c>
      <c r="G62" s="27" t="str">
        <f aca="false">IF(F62="OK","-",'Données Contrats'!B62)</f>
        <v>-</v>
      </c>
    </row>
    <row r="63" customFormat="false" ht="15" hidden="false" customHeight="true" outlineLevel="0" collapsed="false">
      <c r="A63" s="5" t="str">
        <f aca="false">'Données Contrats'!A63</f>
        <v>CTR-10059</v>
      </c>
      <c r="B63" s="7" t="n">
        <f aca="false">'Données Contrats'!B63</f>
        <v>1.0921</v>
      </c>
      <c r="C63" s="7" t="n">
        <f aca="false">'Données Contrats'!C63</f>
        <v>1.0921</v>
      </c>
      <c r="D63" s="25" t="n">
        <f aca="false">'Données Contrats'!D63</f>
        <v>0</v>
      </c>
      <c r="E63" s="26" t="n">
        <f aca="false">'Données Contrats'!E63</f>
        <v>0</v>
      </c>
      <c r="F63" s="5" t="str">
        <f aca="false">'Données Contrats'!F63</f>
        <v>OK</v>
      </c>
      <c r="G63" s="27" t="str">
        <f aca="false">IF(F63="OK","-",'Données Contrats'!B63)</f>
        <v>-</v>
      </c>
    </row>
    <row r="64" customFormat="false" ht="15" hidden="false" customHeight="true" outlineLevel="0" collapsed="false">
      <c r="A64" s="5" t="str">
        <f aca="false">'Données Contrats'!A64</f>
        <v>CTR-10060</v>
      </c>
      <c r="B64" s="7" t="n">
        <f aca="false">'Données Contrats'!B64</f>
        <v>0.9703</v>
      </c>
      <c r="C64" s="7" t="n">
        <f aca="false">'Données Contrats'!C64</f>
        <v>0.9703</v>
      </c>
      <c r="D64" s="25" t="n">
        <f aca="false">'Données Contrats'!D64</f>
        <v>0</v>
      </c>
      <c r="E64" s="26" t="n">
        <f aca="false">'Données Contrats'!E64</f>
        <v>0</v>
      </c>
      <c r="F64" s="5" t="str">
        <f aca="false">'Données Contrats'!F64</f>
        <v>OK</v>
      </c>
      <c r="G64" s="27" t="str">
        <f aca="false">IF(F64="OK","-",'Données Contrats'!B64)</f>
        <v>-</v>
      </c>
    </row>
    <row r="65" customFormat="false" ht="15" hidden="false" customHeight="true" outlineLevel="0" collapsed="false">
      <c r="A65" s="5" t="str">
        <f aca="false">'Données Contrats'!A65</f>
        <v>CTR-10061</v>
      </c>
      <c r="B65" s="7" t="n">
        <f aca="false">'Données Contrats'!B65</f>
        <v>0.9124</v>
      </c>
      <c r="C65" s="7" t="n">
        <f aca="false">'Données Contrats'!C65</f>
        <v>0.9124</v>
      </c>
      <c r="D65" s="25" t="n">
        <f aca="false">'Données Contrats'!D65</f>
        <v>0</v>
      </c>
      <c r="E65" s="26" t="n">
        <f aca="false">'Données Contrats'!E65</f>
        <v>0</v>
      </c>
      <c r="F65" s="5" t="str">
        <f aca="false">'Données Contrats'!F65</f>
        <v>OK</v>
      </c>
      <c r="G65" s="27" t="str">
        <f aca="false">IF(F65="OK","-",'Données Contrats'!B65)</f>
        <v>-</v>
      </c>
    </row>
    <row r="66" customFormat="false" ht="15" hidden="false" customHeight="true" outlineLevel="0" collapsed="false">
      <c r="A66" s="5" t="str">
        <f aca="false">'Données Contrats'!A66</f>
        <v>CTR-10062</v>
      </c>
      <c r="B66" s="7" t="n">
        <f aca="false">'Données Contrats'!B66</f>
        <v>1</v>
      </c>
      <c r="C66" s="7" t="n">
        <f aca="false">'Données Contrats'!C66</f>
        <v>1</v>
      </c>
      <c r="D66" s="25" t="n">
        <f aca="false">'Données Contrats'!D66</f>
        <v>0</v>
      </c>
      <c r="E66" s="26" t="n">
        <f aca="false">'Données Contrats'!E66</f>
        <v>0</v>
      </c>
      <c r="F66" s="5" t="str">
        <f aca="false">'Données Contrats'!F66</f>
        <v>OK</v>
      </c>
      <c r="G66" s="27" t="str">
        <f aca="false">IF(F66="OK","-",'Données Contrats'!B66)</f>
        <v>-</v>
      </c>
    </row>
    <row r="67" customFormat="false" ht="15" hidden="false" customHeight="true" outlineLevel="0" collapsed="false">
      <c r="A67" s="5" t="str">
        <f aca="false">'Données Contrats'!A67</f>
        <v>CTR-10063</v>
      </c>
      <c r="B67" s="7" t="n">
        <f aca="false">'Données Contrats'!B67</f>
        <v>0.9201</v>
      </c>
      <c r="C67" s="7" t="n">
        <f aca="false">'Données Contrats'!C67</f>
        <v>0.9201</v>
      </c>
      <c r="D67" s="25" t="n">
        <f aca="false">'Données Contrats'!D67</f>
        <v>0</v>
      </c>
      <c r="E67" s="26" t="n">
        <f aca="false">'Données Contrats'!E67</f>
        <v>0</v>
      </c>
      <c r="F67" s="5" t="str">
        <f aca="false">'Données Contrats'!F67</f>
        <v>OK</v>
      </c>
      <c r="G67" s="27" t="str">
        <f aca="false">IF(F67="OK","-",'Données Contrats'!B67)</f>
        <v>-</v>
      </c>
    </row>
    <row r="68" customFormat="false" ht="15" hidden="false" customHeight="true" outlineLevel="0" collapsed="false">
      <c r="A68" s="5" t="str">
        <f aca="false">'Données Contrats'!A68</f>
        <v>CTR-10064</v>
      </c>
      <c r="B68" s="7" t="n">
        <f aca="false">'Données Contrats'!B68</f>
        <v>0.9339</v>
      </c>
      <c r="C68" s="7" t="n">
        <f aca="false">'Données Contrats'!C68</f>
        <v>0.9339</v>
      </c>
      <c r="D68" s="25" t="n">
        <f aca="false">'Données Contrats'!D68</f>
        <v>0</v>
      </c>
      <c r="E68" s="26" t="n">
        <f aca="false">'Données Contrats'!E68</f>
        <v>0</v>
      </c>
      <c r="F68" s="5" t="str">
        <f aca="false">'Données Contrats'!F68</f>
        <v>OK</v>
      </c>
      <c r="G68" s="27" t="str">
        <f aca="false">IF(F68="OK","-",'Données Contrats'!B68)</f>
        <v>-</v>
      </c>
    </row>
    <row r="69" customFormat="false" ht="15" hidden="false" customHeight="true" outlineLevel="0" collapsed="false">
      <c r="A69" s="5" t="str">
        <f aca="false">'Données Contrats'!A69</f>
        <v>CTR-10065</v>
      </c>
      <c r="B69" s="7" t="n">
        <f aca="false">'Données Contrats'!B69</f>
        <v>0.9105</v>
      </c>
      <c r="C69" s="7" t="n">
        <f aca="false">'Données Contrats'!C69</f>
        <v>0.9105</v>
      </c>
      <c r="D69" s="25" t="n">
        <f aca="false">'Données Contrats'!D69</f>
        <v>0</v>
      </c>
      <c r="E69" s="26" t="n">
        <f aca="false">'Données Contrats'!E69</f>
        <v>0</v>
      </c>
      <c r="F69" s="5" t="str">
        <f aca="false">'Données Contrats'!F69</f>
        <v>OK</v>
      </c>
      <c r="G69" s="27" t="str">
        <f aca="false">IF(F69="OK","-",'Données Contrats'!B69)</f>
        <v>-</v>
      </c>
    </row>
    <row r="70" customFormat="false" ht="15" hidden="false" customHeight="true" outlineLevel="0" collapsed="false">
      <c r="A70" s="5" t="str">
        <f aca="false">'Données Contrats'!A70</f>
        <v>CTR-10066</v>
      </c>
      <c r="B70" s="7" t="n">
        <f aca="false">'Données Contrats'!B70</f>
        <v>0.9441</v>
      </c>
      <c r="C70" s="7" t="n">
        <f aca="false">'Données Contrats'!C70</f>
        <v>0.9441</v>
      </c>
      <c r="D70" s="25" t="n">
        <f aca="false">'Données Contrats'!D70</f>
        <v>0</v>
      </c>
      <c r="E70" s="26" t="n">
        <f aca="false">'Données Contrats'!E70</f>
        <v>0</v>
      </c>
      <c r="F70" s="5" t="str">
        <f aca="false">'Données Contrats'!F70</f>
        <v>OK</v>
      </c>
      <c r="G70" s="27" t="str">
        <f aca="false">IF(F70="OK","-",'Données Contrats'!B70)</f>
        <v>-</v>
      </c>
    </row>
    <row r="71" customFormat="false" ht="15" hidden="false" customHeight="true" outlineLevel="0" collapsed="false">
      <c r="A71" s="5" t="str">
        <f aca="false">'Données Contrats'!A71</f>
        <v>CTR-10067</v>
      </c>
      <c r="B71" s="7" t="n">
        <f aca="false">'Données Contrats'!B71</f>
        <v>0.9756</v>
      </c>
      <c r="C71" s="7" t="n">
        <f aca="false">'Données Contrats'!C71</f>
        <v>0.9756</v>
      </c>
      <c r="D71" s="25" t="n">
        <f aca="false">'Données Contrats'!D71</f>
        <v>0</v>
      </c>
      <c r="E71" s="26" t="n">
        <f aca="false">'Données Contrats'!E71</f>
        <v>0</v>
      </c>
      <c r="F71" s="5" t="str">
        <f aca="false">'Données Contrats'!F71</f>
        <v>OK</v>
      </c>
      <c r="G71" s="27" t="str">
        <f aca="false">IF(F71="OK","-",'Données Contrats'!B71)</f>
        <v>-</v>
      </c>
    </row>
    <row r="72" customFormat="false" ht="15" hidden="false" customHeight="true" outlineLevel="0" collapsed="false">
      <c r="A72" s="5" t="str">
        <f aca="false">'Données Contrats'!A72</f>
        <v>CTR-10068</v>
      </c>
      <c r="B72" s="7" t="n">
        <f aca="false">'Données Contrats'!B72</f>
        <v>0.9668</v>
      </c>
      <c r="C72" s="7" t="n">
        <f aca="false">'Données Contrats'!C72</f>
        <v>0.9668</v>
      </c>
      <c r="D72" s="25" t="n">
        <f aca="false">'Données Contrats'!D72</f>
        <v>0</v>
      </c>
      <c r="E72" s="26" t="n">
        <f aca="false">'Données Contrats'!E72</f>
        <v>0</v>
      </c>
      <c r="F72" s="5" t="str">
        <f aca="false">'Données Contrats'!F72</f>
        <v>OK</v>
      </c>
      <c r="G72" s="27" t="str">
        <f aca="false">IF(F72="OK","-",'Données Contrats'!B72)</f>
        <v>-</v>
      </c>
    </row>
    <row r="73" customFormat="false" ht="15" hidden="false" customHeight="true" outlineLevel="0" collapsed="false">
      <c r="A73" s="5" t="str">
        <f aca="false">'Données Contrats'!A73</f>
        <v>CTR-10069</v>
      </c>
      <c r="B73" s="7" t="n">
        <f aca="false">'Données Contrats'!B73</f>
        <v>0.9033</v>
      </c>
      <c r="C73" s="7" t="n">
        <f aca="false">'Données Contrats'!C73</f>
        <v>0.8239</v>
      </c>
      <c r="D73" s="25" t="n">
        <f aca="false">'Données Contrats'!D73</f>
        <v>-0.0794</v>
      </c>
      <c r="E73" s="26" t="n">
        <f aca="false">'Données Contrats'!E73</f>
        <v>-0.0878999225063656</v>
      </c>
      <c r="F73" s="5" t="str">
        <f aca="false">'Données Contrats'!F73</f>
        <v>Critique</v>
      </c>
      <c r="G73" s="27" t="n">
        <f aca="false">IF(F73="OK","-",'Données Contrats'!B73)</f>
        <v>0.9033</v>
      </c>
    </row>
    <row r="74" customFormat="false" ht="15" hidden="false" customHeight="true" outlineLevel="0" collapsed="false">
      <c r="A74" s="5" t="str">
        <f aca="false">'Données Contrats'!A74</f>
        <v>CTR-10070</v>
      </c>
      <c r="B74" s="7" t="n">
        <f aca="false">'Données Contrats'!B74</f>
        <v>0.9779</v>
      </c>
      <c r="C74" s="7" t="n">
        <f aca="false">'Données Contrats'!C74</f>
        <v>0.9669</v>
      </c>
      <c r="D74" s="25" t="n">
        <f aca="false">'Données Contrats'!D74</f>
        <v>-0.011</v>
      </c>
      <c r="E74" s="26" t="n">
        <f aca="false">'Données Contrats'!E74</f>
        <v>-0.0112485939257593</v>
      </c>
      <c r="F74" s="5" t="str">
        <f aca="false">'Données Contrats'!F74</f>
        <v>Mineur</v>
      </c>
      <c r="G74" s="27" t="n">
        <f aca="false">IF(F74="OK","-",'Données Contrats'!B74)</f>
        <v>0.9779</v>
      </c>
    </row>
    <row r="75" customFormat="false" ht="15" hidden="false" customHeight="true" outlineLevel="0" collapsed="false">
      <c r="A75" s="5" t="str">
        <f aca="false">'Données Contrats'!A75</f>
        <v>CTR-10071</v>
      </c>
      <c r="B75" s="7" t="n">
        <f aca="false">'Données Contrats'!B75</f>
        <v>1</v>
      </c>
      <c r="C75" s="7" t="n">
        <f aca="false">'Données Contrats'!C75</f>
        <v>0.9846</v>
      </c>
      <c r="D75" s="25" t="n">
        <f aca="false">'Données Contrats'!D75</f>
        <v>-0.0154</v>
      </c>
      <c r="E75" s="26" t="n">
        <f aca="false">'Données Contrats'!E75</f>
        <v>-0.0154</v>
      </c>
      <c r="F75" s="5" t="str">
        <f aca="false">'Données Contrats'!F75</f>
        <v>Mineur</v>
      </c>
      <c r="G75" s="27" t="n">
        <f aca="false">IF(F75="OK","-",'Données Contrats'!B75)</f>
        <v>1</v>
      </c>
    </row>
    <row r="76" customFormat="false" ht="15" hidden="false" customHeight="true" outlineLevel="0" collapsed="false">
      <c r="A76" s="5" t="str">
        <f aca="false">'Données Contrats'!A76</f>
        <v>CTR-10072</v>
      </c>
      <c r="B76" s="7" t="n">
        <f aca="false">'Données Contrats'!B76</f>
        <v>1</v>
      </c>
      <c r="C76" s="7" t="n">
        <f aca="false">'Données Contrats'!C76</f>
        <v>1</v>
      </c>
      <c r="D76" s="25" t="n">
        <f aca="false">'Données Contrats'!D76</f>
        <v>0</v>
      </c>
      <c r="E76" s="26" t="n">
        <f aca="false">'Données Contrats'!E76</f>
        <v>0</v>
      </c>
      <c r="F76" s="5" t="str">
        <f aca="false">'Données Contrats'!F76</f>
        <v>OK</v>
      </c>
      <c r="G76" s="27" t="str">
        <f aca="false">IF(F76="OK","-",'Données Contrats'!B76)</f>
        <v>-</v>
      </c>
    </row>
    <row r="77" customFormat="false" ht="15" hidden="false" customHeight="true" outlineLevel="0" collapsed="false">
      <c r="A77" s="5" t="str">
        <f aca="false">'Données Contrats'!A77</f>
        <v>CTR-10073</v>
      </c>
      <c r="B77" s="7" t="n">
        <f aca="false">'Données Contrats'!B77</f>
        <v>1</v>
      </c>
      <c r="C77" s="7" t="n">
        <f aca="false">'Données Contrats'!C77</f>
        <v>1.032</v>
      </c>
      <c r="D77" s="25" t="n">
        <f aca="false">'Données Contrats'!D77</f>
        <v>0.032</v>
      </c>
      <c r="E77" s="26" t="n">
        <f aca="false">'Données Contrats'!E77</f>
        <v>0.032</v>
      </c>
      <c r="F77" s="5" t="str">
        <f aca="false">'Données Contrats'!F77</f>
        <v>Critique</v>
      </c>
      <c r="G77" s="27" t="n">
        <f aca="false">IF(F77="OK","-",'Données Contrats'!B77)</f>
        <v>1</v>
      </c>
    </row>
    <row r="78" customFormat="false" ht="15" hidden="false" customHeight="true" outlineLevel="0" collapsed="false">
      <c r="A78" s="5" t="str">
        <f aca="false">'Données Contrats'!A78</f>
        <v>CTR-10074</v>
      </c>
      <c r="B78" s="7" t="n">
        <f aca="false">'Données Contrats'!B78</f>
        <v>1</v>
      </c>
      <c r="C78" s="7" t="n">
        <f aca="false">'Données Contrats'!C78</f>
        <v>1</v>
      </c>
      <c r="D78" s="25" t="n">
        <f aca="false">'Données Contrats'!D78</f>
        <v>0</v>
      </c>
      <c r="E78" s="26" t="n">
        <f aca="false">'Données Contrats'!E78</f>
        <v>0</v>
      </c>
      <c r="F78" s="5" t="str">
        <f aca="false">'Données Contrats'!F78</f>
        <v>OK</v>
      </c>
      <c r="G78" s="27" t="str">
        <f aca="false">IF(F78="OK","-",'Données Contrats'!B78)</f>
        <v>-</v>
      </c>
    </row>
    <row r="79" customFormat="false" ht="15" hidden="false" customHeight="true" outlineLevel="0" collapsed="false">
      <c r="A79" s="5" t="str">
        <f aca="false">'Données Contrats'!A79</f>
        <v>CTR-10075</v>
      </c>
      <c r="B79" s="7" t="n">
        <f aca="false">'Données Contrats'!B79</f>
        <v>1.1083</v>
      </c>
      <c r="C79" s="7" t="n">
        <f aca="false">'Données Contrats'!C79</f>
        <v>1.1083</v>
      </c>
      <c r="D79" s="25" t="n">
        <f aca="false">'Données Contrats'!D79</f>
        <v>0</v>
      </c>
      <c r="E79" s="26" t="n">
        <f aca="false">'Données Contrats'!E79</f>
        <v>0</v>
      </c>
      <c r="F79" s="5" t="str">
        <f aca="false">'Données Contrats'!F79</f>
        <v>OK</v>
      </c>
      <c r="G79" s="27" t="str">
        <f aca="false">IF(F79="OK","-",'Données Contrats'!B79)</f>
        <v>-</v>
      </c>
    </row>
    <row r="80" customFormat="false" ht="15" hidden="false" customHeight="true" outlineLevel="0" collapsed="false">
      <c r="A80" s="5" t="str">
        <f aca="false">'Données Contrats'!A80</f>
        <v>CTR-10076</v>
      </c>
      <c r="B80" s="7" t="n">
        <f aca="false">'Données Contrats'!B80</f>
        <v>1</v>
      </c>
      <c r="C80" s="7" t="n">
        <f aca="false">'Données Contrats'!C80</f>
        <v>1</v>
      </c>
      <c r="D80" s="25" t="n">
        <f aca="false">'Données Contrats'!D80</f>
        <v>0</v>
      </c>
      <c r="E80" s="26" t="n">
        <f aca="false">'Données Contrats'!E80</f>
        <v>0</v>
      </c>
      <c r="F80" s="5" t="str">
        <f aca="false">'Données Contrats'!F80</f>
        <v>OK</v>
      </c>
      <c r="G80" s="27" t="str">
        <f aca="false">IF(F80="OK","-",'Données Contrats'!B80)</f>
        <v>-</v>
      </c>
    </row>
    <row r="81" customFormat="false" ht="15" hidden="false" customHeight="true" outlineLevel="0" collapsed="false">
      <c r="A81" s="5" t="str">
        <f aca="false">'Données Contrats'!A81</f>
        <v>CTR-10077</v>
      </c>
      <c r="B81" s="7" t="n">
        <f aca="false">'Données Contrats'!B81</f>
        <v>0.977</v>
      </c>
      <c r="C81" s="7" t="n">
        <f aca="false">'Données Contrats'!C81</f>
        <v>0.977</v>
      </c>
      <c r="D81" s="25" t="n">
        <f aca="false">'Données Contrats'!D81</f>
        <v>0</v>
      </c>
      <c r="E81" s="26" t="n">
        <f aca="false">'Données Contrats'!E81</f>
        <v>0</v>
      </c>
      <c r="F81" s="5" t="str">
        <f aca="false">'Données Contrats'!F81</f>
        <v>OK</v>
      </c>
      <c r="G81" s="27" t="str">
        <f aca="false">IF(F81="OK","-",'Données Contrats'!B81)</f>
        <v>-</v>
      </c>
    </row>
    <row r="82" customFormat="false" ht="15" hidden="false" customHeight="true" outlineLevel="0" collapsed="false">
      <c r="A82" s="5" t="str">
        <f aca="false">'Données Contrats'!A82</f>
        <v>CTR-10078</v>
      </c>
      <c r="B82" s="7" t="n">
        <f aca="false">'Données Contrats'!B82</f>
        <v>1</v>
      </c>
      <c r="C82" s="7" t="n">
        <f aca="false">'Données Contrats'!C82</f>
        <v>1</v>
      </c>
      <c r="D82" s="25" t="n">
        <f aca="false">'Données Contrats'!D82</f>
        <v>0</v>
      </c>
      <c r="E82" s="26" t="n">
        <f aca="false">'Données Contrats'!E82</f>
        <v>0</v>
      </c>
      <c r="F82" s="5" t="str">
        <f aca="false">'Données Contrats'!F82</f>
        <v>OK</v>
      </c>
      <c r="G82" s="27" t="str">
        <f aca="false">IF(F82="OK","-",'Données Contrats'!B82)</f>
        <v>-</v>
      </c>
    </row>
    <row r="83" customFormat="false" ht="15" hidden="false" customHeight="true" outlineLevel="0" collapsed="false">
      <c r="A83" s="5" t="str">
        <f aca="false">'Données Contrats'!A83</f>
        <v>CTR-10079</v>
      </c>
      <c r="B83" s="7" t="n">
        <f aca="false">'Données Contrats'!B83</f>
        <v>1.0701</v>
      </c>
      <c r="C83" s="7" t="n">
        <f aca="false">'Données Contrats'!C83</f>
        <v>1.0701</v>
      </c>
      <c r="D83" s="25" t="n">
        <f aca="false">'Données Contrats'!D83</f>
        <v>0</v>
      </c>
      <c r="E83" s="26" t="n">
        <f aca="false">'Données Contrats'!E83</f>
        <v>0</v>
      </c>
      <c r="F83" s="5" t="str">
        <f aca="false">'Données Contrats'!F83</f>
        <v>OK</v>
      </c>
      <c r="G83" s="27" t="str">
        <f aca="false">IF(F83="OK","-",'Données Contrats'!B83)</f>
        <v>-</v>
      </c>
    </row>
    <row r="84" customFormat="false" ht="15" hidden="false" customHeight="true" outlineLevel="0" collapsed="false">
      <c r="A84" s="5" t="str">
        <f aca="false">'Données Contrats'!A84</f>
        <v>CTR-10080</v>
      </c>
      <c r="B84" s="7" t="n">
        <f aca="false">'Données Contrats'!B84</f>
        <v>1.0767</v>
      </c>
      <c r="C84" s="7" t="n">
        <f aca="false">'Données Contrats'!C84</f>
        <v>1.1155</v>
      </c>
      <c r="D84" s="25" t="n">
        <f aca="false">'Données Contrats'!D84</f>
        <v>0.0387999999999999</v>
      </c>
      <c r="E84" s="26" t="n">
        <f aca="false">'Données Contrats'!E84</f>
        <v>0.036036036036036</v>
      </c>
      <c r="F84" s="5" t="str">
        <f aca="false">'Données Contrats'!F84</f>
        <v>Critique</v>
      </c>
      <c r="G84" s="27" t="n">
        <f aca="false">IF(F84="OK","-",'Données Contrats'!B84)</f>
        <v>1.0767</v>
      </c>
    </row>
    <row r="85" customFormat="false" ht="15" hidden="false" customHeight="true" outlineLevel="0" collapsed="false">
      <c r="A85" s="5" t="str">
        <f aca="false">'Données Contrats'!A85</f>
        <v>CTR-10081</v>
      </c>
      <c r="B85" s="7" t="n">
        <f aca="false">'Données Contrats'!B85</f>
        <v>1.0291</v>
      </c>
      <c r="C85" s="7" t="n">
        <f aca="false">'Données Contrats'!C85</f>
        <v>1.0291</v>
      </c>
      <c r="D85" s="25" t="n">
        <f aca="false">'Données Contrats'!D85</f>
        <v>0</v>
      </c>
      <c r="E85" s="26" t="n">
        <f aca="false">'Données Contrats'!E85</f>
        <v>0</v>
      </c>
      <c r="F85" s="5" t="str">
        <f aca="false">'Données Contrats'!F85</f>
        <v>OK</v>
      </c>
      <c r="G85" s="27" t="str">
        <f aca="false">IF(F85="OK","-",'Données Contrats'!B85)</f>
        <v>-</v>
      </c>
    </row>
    <row r="86" customFormat="false" ht="15" hidden="false" customHeight="true" outlineLevel="0" collapsed="false">
      <c r="A86" s="5" t="str">
        <f aca="false">'Données Contrats'!A86</f>
        <v>CTR-10082</v>
      </c>
      <c r="B86" s="7" t="n">
        <f aca="false">'Données Contrats'!B86</f>
        <v>1</v>
      </c>
      <c r="C86" s="7" t="n">
        <f aca="false">'Données Contrats'!C86</f>
        <v>1</v>
      </c>
      <c r="D86" s="25" t="n">
        <f aca="false">'Données Contrats'!D86</f>
        <v>0</v>
      </c>
      <c r="E86" s="26" t="n">
        <f aca="false">'Données Contrats'!E86</f>
        <v>0</v>
      </c>
      <c r="F86" s="5" t="str">
        <f aca="false">'Données Contrats'!F86</f>
        <v>OK</v>
      </c>
      <c r="G86" s="27" t="str">
        <f aca="false">IF(F86="OK","-",'Données Contrats'!B86)</f>
        <v>-</v>
      </c>
    </row>
    <row r="87" customFormat="false" ht="15" hidden="false" customHeight="true" outlineLevel="0" collapsed="false">
      <c r="A87" s="5" t="str">
        <f aca="false">'Données Contrats'!A87</f>
        <v>CTR-10083</v>
      </c>
      <c r="B87" s="7" t="n">
        <f aca="false">'Données Contrats'!B87</f>
        <v>1</v>
      </c>
      <c r="C87" s="7" t="n">
        <f aca="false">'Données Contrats'!C87</f>
        <v>1</v>
      </c>
      <c r="D87" s="25" t="n">
        <f aca="false">'Données Contrats'!D87</f>
        <v>0</v>
      </c>
      <c r="E87" s="26" t="n">
        <f aca="false">'Données Contrats'!E87</f>
        <v>0</v>
      </c>
      <c r="F87" s="5" t="str">
        <f aca="false">'Données Contrats'!F87</f>
        <v>OK</v>
      </c>
      <c r="G87" s="27" t="str">
        <f aca="false">IF(F87="OK","-",'Données Contrats'!B87)</f>
        <v>-</v>
      </c>
    </row>
    <row r="88" customFormat="false" ht="15" hidden="false" customHeight="true" outlineLevel="0" collapsed="false">
      <c r="A88" s="5" t="str">
        <f aca="false">'Données Contrats'!A88</f>
        <v>CTR-10084</v>
      </c>
      <c r="B88" s="7" t="n">
        <f aca="false">'Données Contrats'!B88</f>
        <v>0.9303</v>
      </c>
      <c r="C88" s="7" t="n">
        <f aca="false">'Données Contrats'!C88</f>
        <v>0.9303</v>
      </c>
      <c r="D88" s="25" t="n">
        <f aca="false">'Données Contrats'!D88</f>
        <v>0</v>
      </c>
      <c r="E88" s="26" t="n">
        <f aca="false">'Données Contrats'!E88</f>
        <v>0</v>
      </c>
      <c r="F88" s="5" t="str">
        <f aca="false">'Données Contrats'!F88</f>
        <v>OK</v>
      </c>
      <c r="G88" s="27" t="str">
        <f aca="false">IF(F88="OK","-",'Données Contrats'!B88)</f>
        <v>-</v>
      </c>
    </row>
    <row r="89" customFormat="false" ht="15" hidden="false" customHeight="true" outlineLevel="0" collapsed="false">
      <c r="A89" s="5" t="str">
        <f aca="false">'Données Contrats'!A89</f>
        <v>CTR-10085</v>
      </c>
      <c r="B89" s="7" t="n">
        <f aca="false">'Données Contrats'!B89</f>
        <v>0.9241</v>
      </c>
      <c r="C89" s="7" t="n">
        <f aca="false">'Données Contrats'!C89</f>
        <v>0.9241</v>
      </c>
      <c r="D89" s="25" t="n">
        <f aca="false">'Données Contrats'!D89</f>
        <v>0</v>
      </c>
      <c r="E89" s="26" t="n">
        <f aca="false">'Données Contrats'!E89</f>
        <v>0</v>
      </c>
      <c r="F89" s="5" t="str">
        <f aca="false">'Données Contrats'!F89</f>
        <v>OK</v>
      </c>
      <c r="G89" s="27" t="str">
        <f aca="false">IF(F89="OK","-",'Données Contrats'!B89)</f>
        <v>-</v>
      </c>
    </row>
    <row r="90" customFormat="false" ht="15" hidden="false" customHeight="true" outlineLevel="0" collapsed="false">
      <c r="A90" s="5" t="str">
        <f aca="false">'Données Contrats'!A90</f>
        <v>CTR-10086</v>
      </c>
      <c r="B90" s="7" t="n">
        <f aca="false">'Données Contrats'!B90</f>
        <v>1.1221</v>
      </c>
      <c r="C90" s="7" t="n">
        <f aca="false">'Données Contrats'!C90</f>
        <v>1.1221</v>
      </c>
      <c r="D90" s="25" t="n">
        <f aca="false">'Données Contrats'!D90</f>
        <v>0</v>
      </c>
      <c r="E90" s="26" t="n">
        <f aca="false">'Données Contrats'!E90</f>
        <v>0</v>
      </c>
      <c r="F90" s="5" t="str">
        <f aca="false">'Données Contrats'!F90</f>
        <v>OK</v>
      </c>
      <c r="G90" s="27" t="str">
        <f aca="false">IF(F90="OK","-",'Données Contrats'!B90)</f>
        <v>-</v>
      </c>
    </row>
    <row r="91" customFormat="false" ht="15" hidden="false" customHeight="true" outlineLevel="0" collapsed="false">
      <c r="A91" s="5" t="str">
        <f aca="false">'Données Contrats'!A91</f>
        <v>CTR-10087</v>
      </c>
      <c r="B91" s="7" t="n">
        <f aca="false">'Données Contrats'!B91</f>
        <v>0.9372</v>
      </c>
      <c r="C91" s="7" t="n">
        <f aca="false">'Données Contrats'!C91</f>
        <v>0.9372</v>
      </c>
      <c r="D91" s="25" t="n">
        <f aca="false">'Données Contrats'!D91</f>
        <v>0</v>
      </c>
      <c r="E91" s="26" t="n">
        <f aca="false">'Données Contrats'!E91</f>
        <v>0</v>
      </c>
      <c r="F91" s="5" t="str">
        <f aca="false">'Données Contrats'!F91</f>
        <v>OK</v>
      </c>
      <c r="G91" s="27" t="str">
        <f aca="false">IF(F91="OK","-",'Données Contrats'!B91)</f>
        <v>-</v>
      </c>
    </row>
    <row r="92" customFormat="false" ht="15" hidden="false" customHeight="true" outlineLevel="0" collapsed="false">
      <c r="A92" s="5" t="str">
        <f aca="false">'Données Contrats'!A92</f>
        <v>CTR-10088</v>
      </c>
      <c r="B92" s="7" t="n">
        <f aca="false">'Données Contrats'!B92</f>
        <v>1.1448</v>
      </c>
      <c r="C92" s="7" t="n">
        <f aca="false">'Données Contrats'!C92</f>
        <v>1.1448</v>
      </c>
      <c r="D92" s="25" t="n">
        <f aca="false">'Données Contrats'!D92</f>
        <v>0</v>
      </c>
      <c r="E92" s="26" t="n">
        <f aca="false">'Données Contrats'!E92</f>
        <v>0</v>
      </c>
      <c r="F92" s="5" t="str">
        <f aca="false">'Données Contrats'!F92</f>
        <v>OK</v>
      </c>
      <c r="G92" s="27" t="str">
        <f aca="false">IF(F92="OK","-",'Données Contrats'!B92)</f>
        <v>-</v>
      </c>
    </row>
    <row r="93" customFormat="false" ht="15" hidden="false" customHeight="true" outlineLevel="0" collapsed="false">
      <c r="A93" s="5" t="str">
        <f aca="false">'Données Contrats'!A93</f>
        <v>CTR-10089</v>
      </c>
      <c r="B93" s="7" t="n">
        <f aca="false">'Données Contrats'!B93</f>
        <v>1.087</v>
      </c>
      <c r="C93" s="7" t="n">
        <f aca="false">'Données Contrats'!C93</f>
        <v>1.087</v>
      </c>
      <c r="D93" s="25" t="n">
        <f aca="false">'Données Contrats'!D93</f>
        <v>0</v>
      </c>
      <c r="E93" s="26" t="n">
        <f aca="false">'Données Contrats'!E93</f>
        <v>0</v>
      </c>
      <c r="F93" s="5" t="str">
        <f aca="false">'Données Contrats'!F93</f>
        <v>OK</v>
      </c>
      <c r="G93" s="27" t="str">
        <f aca="false">IF(F93="OK","-",'Données Contrats'!B93)</f>
        <v>-</v>
      </c>
    </row>
    <row r="94" customFormat="false" ht="15" hidden="false" customHeight="true" outlineLevel="0" collapsed="false">
      <c r="A94" s="5" t="str">
        <f aca="false">'Données Contrats'!A94</f>
        <v>CTR-10090</v>
      </c>
      <c r="B94" s="7" t="n">
        <f aca="false">'Données Contrats'!B94</f>
        <v>0.9075</v>
      </c>
      <c r="C94" s="7" t="n">
        <f aca="false">'Données Contrats'!C94</f>
        <v>0.9075</v>
      </c>
      <c r="D94" s="25" t="n">
        <f aca="false">'Données Contrats'!D94</f>
        <v>0</v>
      </c>
      <c r="E94" s="26" t="n">
        <f aca="false">'Données Contrats'!E94</f>
        <v>0</v>
      </c>
      <c r="F94" s="5" t="str">
        <f aca="false">'Données Contrats'!F94</f>
        <v>OK</v>
      </c>
      <c r="G94" s="27" t="str">
        <f aca="false">IF(F94="OK","-",'Données Contrats'!B94)</f>
        <v>-</v>
      </c>
    </row>
    <row r="95" customFormat="false" ht="15" hidden="false" customHeight="true" outlineLevel="0" collapsed="false">
      <c r="A95" s="5" t="str">
        <f aca="false">'Données Contrats'!A95</f>
        <v>CTR-10091</v>
      </c>
      <c r="B95" s="7" t="n">
        <f aca="false">'Données Contrats'!B95</f>
        <v>0.918</v>
      </c>
      <c r="C95" s="7" t="n">
        <f aca="false">'Données Contrats'!C95</f>
        <v>0.918</v>
      </c>
      <c r="D95" s="25" t="n">
        <f aca="false">'Données Contrats'!D95</f>
        <v>0</v>
      </c>
      <c r="E95" s="26" t="n">
        <f aca="false">'Données Contrats'!E95</f>
        <v>0</v>
      </c>
      <c r="F95" s="5" t="str">
        <f aca="false">'Données Contrats'!F95</f>
        <v>OK</v>
      </c>
      <c r="G95" s="27" t="str">
        <f aca="false">IF(F95="OK","-",'Données Contrats'!B95)</f>
        <v>-</v>
      </c>
    </row>
    <row r="96" customFormat="false" ht="15" hidden="false" customHeight="true" outlineLevel="0" collapsed="false">
      <c r="A96" s="5" t="str">
        <f aca="false">'Données Contrats'!A96</f>
        <v>CTR-10092</v>
      </c>
      <c r="B96" s="7" t="n">
        <f aca="false">'Données Contrats'!B96</f>
        <v>0.9787</v>
      </c>
      <c r="C96" s="7" t="n">
        <f aca="false">'Données Contrats'!C96</f>
        <v>0.9787</v>
      </c>
      <c r="D96" s="25" t="n">
        <f aca="false">'Données Contrats'!D96</f>
        <v>0</v>
      </c>
      <c r="E96" s="26" t="n">
        <f aca="false">'Données Contrats'!E96</f>
        <v>0</v>
      </c>
      <c r="F96" s="5" t="str">
        <f aca="false">'Données Contrats'!F96</f>
        <v>OK</v>
      </c>
      <c r="G96" s="27" t="str">
        <f aca="false">IF(F96="OK","-",'Données Contrats'!B96)</f>
        <v>-</v>
      </c>
    </row>
    <row r="97" customFormat="false" ht="15" hidden="false" customHeight="true" outlineLevel="0" collapsed="false">
      <c r="A97" s="5" t="str">
        <f aca="false">'Données Contrats'!A97</f>
        <v>CTR-10093</v>
      </c>
      <c r="B97" s="7" t="n">
        <f aca="false">'Données Contrats'!B97</f>
        <v>1.0948</v>
      </c>
      <c r="C97" s="7" t="n">
        <f aca="false">'Données Contrats'!C97</f>
        <v>1.0948</v>
      </c>
      <c r="D97" s="25" t="n">
        <f aca="false">'Données Contrats'!D97</f>
        <v>0</v>
      </c>
      <c r="E97" s="26" t="n">
        <f aca="false">'Données Contrats'!E97</f>
        <v>0</v>
      </c>
      <c r="F97" s="5" t="str">
        <f aca="false">'Données Contrats'!F97</f>
        <v>OK</v>
      </c>
      <c r="G97" s="27" t="str">
        <f aca="false">IF(F97="OK","-",'Données Contrats'!B97)</f>
        <v>-</v>
      </c>
    </row>
    <row r="98" customFormat="false" ht="15" hidden="false" customHeight="true" outlineLevel="0" collapsed="false">
      <c r="A98" s="5" t="str">
        <f aca="false">'Données Contrats'!A98</f>
        <v>CTR-10094</v>
      </c>
      <c r="B98" s="7" t="n">
        <f aca="false">'Données Contrats'!B98</f>
        <v>1.0517</v>
      </c>
      <c r="C98" s="7" t="n">
        <f aca="false">'Données Contrats'!C98</f>
        <v>1.0517</v>
      </c>
      <c r="D98" s="25" t="n">
        <f aca="false">'Données Contrats'!D98</f>
        <v>0</v>
      </c>
      <c r="E98" s="26" t="n">
        <f aca="false">'Données Contrats'!E98</f>
        <v>0</v>
      </c>
      <c r="F98" s="5" t="str">
        <f aca="false">'Données Contrats'!F98</f>
        <v>OK</v>
      </c>
      <c r="G98" s="27" t="str">
        <f aca="false">IF(F98="OK","-",'Données Contrats'!B98)</f>
        <v>-</v>
      </c>
    </row>
    <row r="99" customFormat="false" ht="15" hidden="false" customHeight="true" outlineLevel="0" collapsed="false">
      <c r="A99" s="5" t="str">
        <f aca="false">'Données Contrats'!A99</f>
        <v>CTR-10095</v>
      </c>
      <c r="B99" s="7" t="n">
        <f aca="false">'Données Contrats'!B99</f>
        <v>0.9714</v>
      </c>
      <c r="C99" s="7" t="n">
        <f aca="false">'Données Contrats'!C99</f>
        <v>1.0106</v>
      </c>
      <c r="D99" s="25" t="n">
        <f aca="false">'Données Contrats'!D99</f>
        <v>0.0391999999999999</v>
      </c>
      <c r="E99" s="26" t="n">
        <f aca="false">'Données Contrats'!E99</f>
        <v>0.04035412806259</v>
      </c>
      <c r="F99" s="5" t="str">
        <f aca="false">'Données Contrats'!F99</f>
        <v>Critique</v>
      </c>
      <c r="G99" s="27" t="n">
        <f aca="false">IF(F99="OK","-",'Données Contrats'!B99)</f>
        <v>0.9714</v>
      </c>
    </row>
    <row r="100" customFormat="false" ht="15" hidden="false" customHeight="true" outlineLevel="0" collapsed="false">
      <c r="A100" s="5" t="str">
        <f aca="false">'Données Contrats'!A100</f>
        <v>CTR-10096</v>
      </c>
      <c r="B100" s="7" t="n">
        <f aca="false">'Données Contrats'!B100</f>
        <v>0.904</v>
      </c>
      <c r="C100" s="7" t="n">
        <f aca="false">'Données Contrats'!C100</f>
        <v>0.904</v>
      </c>
      <c r="D100" s="25" t="n">
        <f aca="false">'Données Contrats'!D100</f>
        <v>0</v>
      </c>
      <c r="E100" s="26" t="n">
        <f aca="false">'Données Contrats'!E100</f>
        <v>0</v>
      </c>
      <c r="F100" s="5" t="str">
        <f aca="false">'Données Contrats'!F100</f>
        <v>OK</v>
      </c>
      <c r="G100" s="27" t="str">
        <f aca="false">IF(F100="OK","-",'Données Contrats'!B100)</f>
        <v>-</v>
      </c>
    </row>
    <row r="101" customFormat="false" ht="15" hidden="false" customHeight="true" outlineLevel="0" collapsed="false">
      <c r="A101" s="5" t="str">
        <f aca="false">'Données Contrats'!A101</f>
        <v>CTR-10097</v>
      </c>
      <c r="B101" s="7" t="n">
        <f aca="false">'Données Contrats'!B101</f>
        <v>1.1068</v>
      </c>
      <c r="C101" s="7" t="n">
        <f aca="false">'Données Contrats'!C101</f>
        <v>1.1068</v>
      </c>
      <c r="D101" s="25" t="n">
        <f aca="false">'Données Contrats'!D101</f>
        <v>0</v>
      </c>
      <c r="E101" s="26" t="n">
        <f aca="false">'Données Contrats'!E101</f>
        <v>0</v>
      </c>
      <c r="F101" s="5" t="str">
        <f aca="false">'Données Contrats'!F101</f>
        <v>OK</v>
      </c>
      <c r="G101" s="27" t="str">
        <f aca="false">IF(F101="OK","-",'Données Contrats'!B101)</f>
        <v>-</v>
      </c>
    </row>
    <row r="102" customFormat="false" ht="15" hidden="false" customHeight="true" outlineLevel="0" collapsed="false">
      <c r="A102" s="5" t="str">
        <f aca="false">'Données Contrats'!A102</f>
        <v>CTR-10098</v>
      </c>
      <c r="B102" s="7" t="n">
        <f aca="false">'Données Contrats'!B102</f>
        <v>1.1359</v>
      </c>
      <c r="C102" s="7" t="n">
        <f aca="false">'Données Contrats'!C102</f>
        <v>1.2173</v>
      </c>
      <c r="D102" s="25" t="n">
        <f aca="false">'Données Contrats'!D102</f>
        <v>0.0814000000000001</v>
      </c>
      <c r="E102" s="26" t="n">
        <f aca="false">'Données Contrats'!E102</f>
        <v>0.0716612377850164</v>
      </c>
      <c r="F102" s="5" t="str">
        <f aca="false">'Données Contrats'!F102</f>
        <v>Critique</v>
      </c>
      <c r="G102" s="27" t="n">
        <f aca="false">IF(F102="OK","-",'Données Contrats'!B102)</f>
        <v>1.1359</v>
      </c>
    </row>
    <row r="103" customFormat="false" ht="15" hidden="false" customHeight="true" outlineLevel="0" collapsed="false">
      <c r="A103" s="5" t="str">
        <f aca="false">'Données Contrats'!A103</f>
        <v>CTR-10099</v>
      </c>
      <c r="B103" s="7" t="n">
        <f aca="false">'Données Contrats'!B103</f>
        <v>1</v>
      </c>
      <c r="C103" s="7" t="n">
        <f aca="false">'Données Contrats'!C103</f>
        <v>1</v>
      </c>
      <c r="D103" s="25" t="n">
        <f aca="false">'Données Contrats'!D103</f>
        <v>0</v>
      </c>
      <c r="E103" s="26" t="n">
        <f aca="false">'Données Contrats'!E103</f>
        <v>0</v>
      </c>
      <c r="F103" s="5" t="str">
        <f aca="false">'Données Contrats'!F103</f>
        <v>OK</v>
      </c>
      <c r="G103" s="27" t="str">
        <f aca="false">IF(F103="OK","-",'Données Contrats'!B103)</f>
        <v>-</v>
      </c>
    </row>
    <row r="104" customFormat="false" ht="15" hidden="false" customHeight="true" outlineLevel="0" collapsed="false">
      <c r="A104" s="5" t="str">
        <f aca="false">'Données Contrats'!A104</f>
        <v>CTR-10100</v>
      </c>
      <c r="B104" s="7" t="n">
        <f aca="false">'Données Contrats'!B104</f>
        <v>1</v>
      </c>
      <c r="C104" s="7" t="n">
        <f aca="false">'Données Contrats'!C104</f>
        <v>0.9709</v>
      </c>
      <c r="D104" s="25" t="n">
        <f aca="false">'Données Contrats'!D104</f>
        <v>-0.0291</v>
      </c>
      <c r="E104" s="26" t="n">
        <f aca="false">'Données Contrats'!E104</f>
        <v>-0.0291</v>
      </c>
      <c r="F104" s="5" t="str">
        <f aca="false">'Données Contrats'!F104</f>
        <v>Critique</v>
      </c>
      <c r="G104" s="27" t="n">
        <f aca="false">IF(F104="OK","-",'Données Contrats'!B104)</f>
        <v>1</v>
      </c>
    </row>
    <row r="105" customFormat="false" ht="15" hidden="false" customHeight="true" outlineLevel="0" collapsed="false">
      <c r="A105" s="5" t="str">
        <f aca="false">'Données Contrats'!A105</f>
        <v>CTR-10101</v>
      </c>
      <c r="B105" s="7" t="n">
        <f aca="false">'Données Contrats'!B105</f>
        <v>1</v>
      </c>
      <c r="C105" s="7" t="n">
        <f aca="false">'Données Contrats'!C105</f>
        <v>1</v>
      </c>
      <c r="D105" s="25" t="n">
        <f aca="false">'Données Contrats'!D105</f>
        <v>0</v>
      </c>
      <c r="E105" s="26" t="n">
        <f aca="false">'Données Contrats'!E105</f>
        <v>0</v>
      </c>
      <c r="F105" s="5" t="str">
        <f aca="false">'Données Contrats'!F105</f>
        <v>OK</v>
      </c>
      <c r="G105" s="27" t="str">
        <f aca="false">IF(F105="OK","-",'Données Contrats'!B105)</f>
        <v>-</v>
      </c>
    </row>
    <row r="106" customFormat="false" ht="15" hidden="false" customHeight="true" outlineLevel="0" collapsed="false">
      <c r="A106" s="5" t="str">
        <f aca="false">'Données Contrats'!A106</f>
        <v>CTR-10102</v>
      </c>
      <c r="B106" s="7" t="n">
        <f aca="false">'Données Contrats'!B106</f>
        <v>0.9432</v>
      </c>
      <c r="C106" s="7" t="n">
        <f aca="false">'Données Contrats'!C106</f>
        <v>0.9432</v>
      </c>
      <c r="D106" s="25" t="n">
        <f aca="false">'Données Contrats'!D106</f>
        <v>0</v>
      </c>
      <c r="E106" s="26" t="n">
        <f aca="false">'Données Contrats'!E106</f>
        <v>0</v>
      </c>
      <c r="F106" s="5" t="str">
        <f aca="false">'Données Contrats'!F106</f>
        <v>OK</v>
      </c>
      <c r="G106" s="27" t="str">
        <f aca="false">IF(F106="OK","-",'Données Contrats'!B106)</f>
        <v>-</v>
      </c>
    </row>
    <row r="107" customFormat="false" ht="15" hidden="false" customHeight="true" outlineLevel="0" collapsed="false">
      <c r="A107" s="5" t="str">
        <f aca="false">'Données Contrats'!A107</f>
        <v>CTR-10103</v>
      </c>
      <c r="B107" s="7" t="n">
        <f aca="false">'Données Contrats'!B107</f>
        <v>1</v>
      </c>
      <c r="C107" s="7" t="n">
        <f aca="false">'Données Contrats'!C107</f>
        <v>1</v>
      </c>
      <c r="D107" s="25" t="n">
        <f aca="false">'Données Contrats'!D107</f>
        <v>0</v>
      </c>
      <c r="E107" s="26" t="n">
        <f aca="false">'Données Contrats'!E107</f>
        <v>0</v>
      </c>
      <c r="F107" s="5" t="str">
        <f aca="false">'Données Contrats'!F107</f>
        <v>OK</v>
      </c>
      <c r="G107" s="27" t="str">
        <f aca="false">IF(F107="OK","-",'Données Contrats'!B107)</f>
        <v>-</v>
      </c>
    </row>
    <row r="108" customFormat="false" ht="15" hidden="false" customHeight="true" outlineLevel="0" collapsed="false">
      <c r="A108" s="5" t="str">
        <f aca="false">'Données Contrats'!A108</f>
        <v>CTR-10104</v>
      </c>
      <c r="B108" s="7" t="n">
        <f aca="false">'Données Contrats'!B108</f>
        <v>0.9434</v>
      </c>
      <c r="C108" s="7" t="n">
        <f aca="false">'Données Contrats'!C108</f>
        <v>0.909</v>
      </c>
      <c r="D108" s="25" t="n">
        <f aca="false">'Données Contrats'!D108</f>
        <v>-0.0344</v>
      </c>
      <c r="E108" s="26" t="n">
        <f aca="false">'Données Contrats'!E108</f>
        <v>-0.0364638541445834</v>
      </c>
      <c r="F108" s="5" t="str">
        <f aca="false">'Données Contrats'!F108</f>
        <v>Critique</v>
      </c>
      <c r="G108" s="27" t="n">
        <f aca="false">IF(F108="OK","-",'Données Contrats'!B108)</f>
        <v>0.9434</v>
      </c>
    </row>
    <row r="109" customFormat="false" ht="15" hidden="false" customHeight="true" outlineLevel="0" collapsed="false">
      <c r="A109" s="5" t="str">
        <f aca="false">'Données Contrats'!A109</f>
        <v>CTR-10105</v>
      </c>
      <c r="B109" s="7" t="n">
        <f aca="false">'Données Contrats'!B109</f>
        <v>1</v>
      </c>
      <c r="C109" s="7" t="n">
        <f aca="false">'Données Contrats'!C109</f>
        <v>1</v>
      </c>
      <c r="D109" s="25" t="n">
        <f aca="false">'Données Contrats'!D109</f>
        <v>0</v>
      </c>
      <c r="E109" s="26" t="n">
        <f aca="false">'Données Contrats'!E109</f>
        <v>0</v>
      </c>
      <c r="F109" s="5" t="str">
        <f aca="false">'Données Contrats'!F109</f>
        <v>OK</v>
      </c>
      <c r="G109" s="27" t="str">
        <f aca="false">IF(F109="OK","-",'Données Contrats'!B109)</f>
        <v>-</v>
      </c>
    </row>
    <row r="110" customFormat="false" ht="15" hidden="false" customHeight="true" outlineLevel="0" collapsed="false">
      <c r="A110" s="5" t="str">
        <f aca="false">'Données Contrats'!A110</f>
        <v>CTR-10106</v>
      </c>
      <c r="B110" s="7" t="n">
        <f aca="false">'Données Contrats'!B110</f>
        <v>1</v>
      </c>
      <c r="C110" s="7" t="n">
        <f aca="false">'Données Contrats'!C110</f>
        <v>1.0268</v>
      </c>
      <c r="D110" s="25" t="n">
        <f aca="false">'Données Contrats'!D110</f>
        <v>0.0267999999999999</v>
      </c>
      <c r="E110" s="26" t="n">
        <f aca="false">'Données Contrats'!E110</f>
        <v>0.0267999999999999</v>
      </c>
      <c r="F110" s="5" t="str">
        <f aca="false">'Données Contrats'!F110</f>
        <v>Critique</v>
      </c>
      <c r="G110" s="27" t="n">
        <f aca="false">IF(F110="OK","-",'Données Contrats'!B110)</f>
        <v>1</v>
      </c>
    </row>
    <row r="111" customFormat="false" ht="15" hidden="false" customHeight="true" outlineLevel="0" collapsed="false">
      <c r="A111" s="5" t="str">
        <f aca="false">'Données Contrats'!A111</f>
        <v>CTR-10107</v>
      </c>
      <c r="B111" s="7" t="n">
        <f aca="false">'Données Contrats'!B111</f>
        <v>1</v>
      </c>
      <c r="C111" s="7" t="n">
        <f aca="false">'Données Contrats'!C111</f>
        <v>1</v>
      </c>
      <c r="D111" s="25" t="n">
        <f aca="false">'Données Contrats'!D111</f>
        <v>0</v>
      </c>
      <c r="E111" s="26" t="n">
        <f aca="false">'Données Contrats'!E111</f>
        <v>0</v>
      </c>
      <c r="F111" s="5" t="str">
        <f aca="false">'Données Contrats'!F111</f>
        <v>OK</v>
      </c>
      <c r="G111" s="27" t="str">
        <f aca="false">IF(F111="OK","-",'Données Contrats'!B111)</f>
        <v>-</v>
      </c>
    </row>
    <row r="112" customFormat="false" ht="15" hidden="false" customHeight="true" outlineLevel="0" collapsed="false">
      <c r="A112" s="5" t="str">
        <f aca="false">'Données Contrats'!A112</f>
        <v>CTR-10108</v>
      </c>
      <c r="B112" s="7" t="n">
        <f aca="false">'Données Contrats'!B112</f>
        <v>1</v>
      </c>
      <c r="C112" s="7" t="n">
        <f aca="false">'Données Contrats'!C112</f>
        <v>1</v>
      </c>
      <c r="D112" s="25" t="n">
        <f aca="false">'Données Contrats'!D112</f>
        <v>0</v>
      </c>
      <c r="E112" s="26" t="n">
        <f aca="false">'Données Contrats'!E112</f>
        <v>0</v>
      </c>
      <c r="F112" s="5" t="str">
        <f aca="false">'Données Contrats'!F112</f>
        <v>OK</v>
      </c>
      <c r="G112" s="27" t="str">
        <f aca="false">IF(F112="OK","-",'Données Contrats'!B112)</f>
        <v>-</v>
      </c>
    </row>
    <row r="113" customFormat="false" ht="15" hidden="false" customHeight="true" outlineLevel="0" collapsed="false">
      <c r="A113" s="5" t="str">
        <f aca="false">'Données Contrats'!A113</f>
        <v>CTR-10109</v>
      </c>
      <c r="B113" s="7" t="n">
        <f aca="false">'Données Contrats'!B113</f>
        <v>1.1395</v>
      </c>
      <c r="C113" s="7" t="n">
        <f aca="false">'Données Contrats'!C113</f>
        <v>1.1395</v>
      </c>
      <c r="D113" s="25" t="n">
        <f aca="false">'Données Contrats'!D113</f>
        <v>0</v>
      </c>
      <c r="E113" s="26" t="n">
        <f aca="false">'Données Contrats'!E113</f>
        <v>0</v>
      </c>
      <c r="F113" s="5" t="str">
        <f aca="false">'Données Contrats'!F113</f>
        <v>OK</v>
      </c>
      <c r="G113" s="27" t="str">
        <f aca="false">IF(F113="OK","-",'Données Contrats'!B113)</f>
        <v>-</v>
      </c>
    </row>
    <row r="114" customFormat="false" ht="15" hidden="false" customHeight="true" outlineLevel="0" collapsed="false">
      <c r="A114" s="5" t="str">
        <f aca="false">'Données Contrats'!A114</f>
        <v>CTR-10110</v>
      </c>
      <c r="B114" s="7" t="n">
        <f aca="false">'Données Contrats'!B114</f>
        <v>1.0969</v>
      </c>
      <c r="C114" s="7" t="n">
        <f aca="false">'Données Contrats'!C114</f>
        <v>1.0969</v>
      </c>
      <c r="D114" s="25" t="n">
        <f aca="false">'Données Contrats'!D114</f>
        <v>0</v>
      </c>
      <c r="E114" s="26" t="n">
        <f aca="false">'Données Contrats'!E114</f>
        <v>0</v>
      </c>
      <c r="F114" s="5" t="str">
        <f aca="false">'Données Contrats'!F114</f>
        <v>OK</v>
      </c>
      <c r="G114" s="27" t="str">
        <f aca="false">IF(F114="OK","-",'Données Contrats'!B114)</f>
        <v>-</v>
      </c>
    </row>
    <row r="115" customFormat="false" ht="15" hidden="false" customHeight="true" outlineLevel="0" collapsed="false">
      <c r="A115" s="5" t="str">
        <f aca="false">'Données Contrats'!A115</f>
        <v>CTR-10111</v>
      </c>
      <c r="B115" s="7" t="n">
        <f aca="false">'Données Contrats'!B115</f>
        <v>1</v>
      </c>
      <c r="C115" s="7" t="n">
        <f aca="false">'Données Contrats'!C115</f>
        <v>1</v>
      </c>
      <c r="D115" s="25" t="n">
        <f aca="false">'Données Contrats'!D115</f>
        <v>0</v>
      </c>
      <c r="E115" s="26" t="n">
        <f aca="false">'Données Contrats'!E115</f>
        <v>0</v>
      </c>
      <c r="F115" s="5" t="str">
        <f aca="false">'Données Contrats'!F115</f>
        <v>OK</v>
      </c>
      <c r="G115" s="27" t="str">
        <f aca="false">IF(F115="OK","-",'Données Contrats'!B115)</f>
        <v>-</v>
      </c>
    </row>
    <row r="116" customFormat="false" ht="15" hidden="false" customHeight="true" outlineLevel="0" collapsed="false">
      <c r="A116" s="5" t="str">
        <f aca="false">'Données Contrats'!A116</f>
        <v>CTR-10112</v>
      </c>
      <c r="B116" s="7" t="n">
        <f aca="false">'Données Contrats'!B116</f>
        <v>1</v>
      </c>
      <c r="C116" s="7" t="n">
        <f aca="false">'Données Contrats'!C116</f>
        <v>1</v>
      </c>
      <c r="D116" s="25" t="n">
        <f aca="false">'Données Contrats'!D116</f>
        <v>0</v>
      </c>
      <c r="E116" s="26" t="n">
        <f aca="false">'Données Contrats'!E116</f>
        <v>0</v>
      </c>
      <c r="F116" s="5" t="str">
        <f aca="false">'Données Contrats'!F116</f>
        <v>OK</v>
      </c>
      <c r="G116" s="27" t="str">
        <f aca="false">IF(F116="OK","-",'Données Contrats'!B116)</f>
        <v>-</v>
      </c>
    </row>
    <row r="117" customFormat="false" ht="15" hidden="false" customHeight="true" outlineLevel="0" collapsed="false">
      <c r="A117" s="5" t="str">
        <f aca="false">'Données Contrats'!A117</f>
        <v>CTR-10113</v>
      </c>
      <c r="B117" s="7" t="n">
        <f aca="false">'Données Contrats'!B117</f>
        <v>1</v>
      </c>
      <c r="C117" s="7" t="n">
        <f aca="false">'Données Contrats'!C117</f>
        <v>1</v>
      </c>
      <c r="D117" s="25" t="n">
        <f aca="false">'Données Contrats'!D117</f>
        <v>0</v>
      </c>
      <c r="E117" s="26" t="n">
        <f aca="false">'Données Contrats'!E117</f>
        <v>0</v>
      </c>
      <c r="F117" s="5" t="str">
        <f aca="false">'Données Contrats'!F117</f>
        <v>OK</v>
      </c>
      <c r="G117" s="27" t="str">
        <f aca="false">IF(F117="OK","-",'Données Contrats'!B117)</f>
        <v>-</v>
      </c>
    </row>
    <row r="118" customFormat="false" ht="15" hidden="false" customHeight="true" outlineLevel="0" collapsed="false">
      <c r="A118" s="5" t="str">
        <f aca="false">'Données Contrats'!A118</f>
        <v>CTR-10114</v>
      </c>
      <c r="B118" s="7" t="n">
        <f aca="false">'Données Contrats'!B118</f>
        <v>1.0225</v>
      </c>
      <c r="C118" s="7" t="n">
        <f aca="false">'Données Contrats'!C118</f>
        <v>1.0225</v>
      </c>
      <c r="D118" s="25" t="n">
        <f aca="false">'Données Contrats'!D118</f>
        <v>0</v>
      </c>
      <c r="E118" s="26" t="n">
        <f aca="false">'Données Contrats'!E118</f>
        <v>0</v>
      </c>
      <c r="F118" s="5" t="str">
        <f aca="false">'Données Contrats'!F118</f>
        <v>OK</v>
      </c>
      <c r="G118" s="27" t="str">
        <f aca="false">IF(F118="OK","-",'Données Contrats'!B118)</f>
        <v>-</v>
      </c>
    </row>
    <row r="119" customFormat="false" ht="15" hidden="false" customHeight="true" outlineLevel="0" collapsed="false">
      <c r="A119" s="5" t="str">
        <f aca="false">'Données Contrats'!A119</f>
        <v>CTR-10115</v>
      </c>
      <c r="B119" s="7" t="n">
        <f aca="false">'Données Contrats'!B119</f>
        <v>0.9762</v>
      </c>
      <c r="C119" s="7" t="n">
        <f aca="false">'Données Contrats'!C119</f>
        <v>1.0164</v>
      </c>
      <c r="D119" s="25" t="n">
        <f aca="false">'Données Contrats'!D119</f>
        <v>0.0402</v>
      </c>
      <c r="E119" s="26" t="n">
        <f aca="false">'Données Contrats'!E119</f>
        <v>0.041180086047941</v>
      </c>
      <c r="F119" s="5" t="str">
        <f aca="false">'Données Contrats'!F119</f>
        <v>Critique</v>
      </c>
      <c r="G119" s="27" t="n">
        <f aca="false">IF(F119="OK","-",'Données Contrats'!B119)</f>
        <v>0.9762</v>
      </c>
    </row>
    <row r="120" customFormat="false" ht="15" hidden="false" customHeight="true" outlineLevel="0" collapsed="false">
      <c r="A120" s="5" t="str">
        <f aca="false">'Données Contrats'!A120</f>
        <v>CTR-10116</v>
      </c>
      <c r="B120" s="7" t="n">
        <f aca="false">'Données Contrats'!B120</f>
        <v>0.9671</v>
      </c>
      <c r="C120" s="7" t="n">
        <f aca="false">'Données Contrats'!C120</f>
        <v>0.9671</v>
      </c>
      <c r="D120" s="25" t="n">
        <f aca="false">'Données Contrats'!D120</f>
        <v>0</v>
      </c>
      <c r="E120" s="26" t="n">
        <f aca="false">'Données Contrats'!E120</f>
        <v>0</v>
      </c>
      <c r="F120" s="5" t="str">
        <f aca="false">'Données Contrats'!F120</f>
        <v>OK</v>
      </c>
      <c r="G120" s="27" t="str">
        <f aca="false">IF(F120="OK","-",'Données Contrats'!B120)</f>
        <v>-</v>
      </c>
    </row>
    <row r="121" customFormat="false" ht="15" hidden="false" customHeight="true" outlineLevel="0" collapsed="false">
      <c r="A121" s="5" t="str">
        <f aca="false">'Données Contrats'!A121</f>
        <v>CTR-10117</v>
      </c>
      <c r="B121" s="7" t="n">
        <f aca="false">'Données Contrats'!B121</f>
        <v>0.9536</v>
      </c>
      <c r="C121" s="7" t="n">
        <f aca="false">'Données Contrats'!C121</f>
        <v>0.9536</v>
      </c>
      <c r="D121" s="25" t="n">
        <f aca="false">'Données Contrats'!D121</f>
        <v>0</v>
      </c>
      <c r="E121" s="26" t="n">
        <f aca="false">'Données Contrats'!E121</f>
        <v>0</v>
      </c>
      <c r="F121" s="5" t="str">
        <f aca="false">'Données Contrats'!F121</f>
        <v>OK</v>
      </c>
      <c r="G121" s="27" t="str">
        <f aca="false">IF(F121="OK","-",'Données Contrats'!B121)</f>
        <v>-</v>
      </c>
    </row>
    <row r="122" customFormat="false" ht="15" hidden="false" customHeight="true" outlineLevel="0" collapsed="false">
      <c r="A122" s="5" t="str">
        <f aca="false">'Données Contrats'!A122</f>
        <v>CTR-10118</v>
      </c>
      <c r="B122" s="7" t="n">
        <f aca="false">'Données Contrats'!B122</f>
        <v>1.068</v>
      </c>
      <c r="C122" s="7" t="n">
        <f aca="false">'Données Contrats'!C122</f>
        <v>1.068</v>
      </c>
      <c r="D122" s="25" t="n">
        <f aca="false">'Données Contrats'!D122</f>
        <v>0</v>
      </c>
      <c r="E122" s="26" t="n">
        <f aca="false">'Données Contrats'!E122</f>
        <v>0</v>
      </c>
      <c r="F122" s="5" t="str">
        <f aca="false">'Données Contrats'!F122</f>
        <v>OK</v>
      </c>
      <c r="G122" s="27" t="str">
        <f aca="false">IF(F122="OK","-",'Données Contrats'!B122)</f>
        <v>-</v>
      </c>
    </row>
    <row r="123" customFormat="false" ht="15" hidden="false" customHeight="true" outlineLevel="0" collapsed="false">
      <c r="A123" s="5" t="str">
        <f aca="false">'Données Contrats'!A123</f>
        <v>CTR-10119</v>
      </c>
      <c r="B123" s="7" t="n">
        <f aca="false">'Données Contrats'!B123</f>
        <v>0.9598</v>
      </c>
      <c r="C123" s="7" t="n">
        <f aca="false">'Données Contrats'!C123</f>
        <v>0.9222</v>
      </c>
      <c r="D123" s="25" t="n">
        <f aca="false">'Données Contrats'!D123</f>
        <v>-0.0376</v>
      </c>
      <c r="E123" s="26" t="n">
        <f aca="false">'Données Contrats'!E123</f>
        <v>-0.0391748280891852</v>
      </c>
      <c r="F123" s="5" t="str">
        <f aca="false">'Données Contrats'!F123</f>
        <v>Critique</v>
      </c>
      <c r="G123" s="27" t="n">
        <f aca="false">IF(F123="OK","-",'Données Contrats'!B123)</f>
        <v>0.9598</v>
      </c>
    </row>
    <row r="124" customFormat="false" ht="15" hidden="false" customHeight="true" outlineLevel="0" collapsed="false">
      <c r="A124" s="5" t="str">
        <f aca="false">'Données Contrats'!A124</f>
        <v>CTR-10120</v>
      </c>
      <c r="B124" s="7" t="n">
        <f aca="false">'Données Contrats'!B124</f>
        <v>0.9317</v>
      </c>
      <c r="C124" s="7" t="n">
        <f aca="false">'Données Contrats'!C124</f>
        <v>0.9317</v>
      </c>
      <c r="D124" s="25" t="n">
        <f aca="false">'Données Contrats'!D124</f>
        <v>0</v>
      </c>
      <c r="E124" s="26" t="n">
        <f aca="false">'Données Contrats'!E124</f>
        <v>0</v>
      </c>
      <c r="F124" s="5" t="str">
        <f aca="false">'Données Contrats'!F124</f>
        <v>OK</v>
      </c>
      <c r="G124" s="27" t="str">
        <f aca="false">IF(F124="OK","-",'Données Contrats'!B124)</f>
        <v>-</v>
      </c>
    </row>
    <row r="125" customFormat="false" ht="15" hidden="false" customHeight="true" outlineLevel="0" collapsed="false">
      <c r="A125" s="5" t="str">
        <f aca="false">'Données Contrats'!A125</f>
        <v>CTR-10121</v>
      </c>
      <c r="B125" s="7" t="n">
        <f aca="false">'Données Contrats'!B125</f>
        <v>1.0516</v>
      </c>
      <c r="C125" s="7" t="n">
        <f aca="false">'Données Contrats'!C125</f>
        <v>1.0356</v>
      </c>
      <c r="D125" s="25" t="n">
        <f aca="false">'Données Contrats'!D125</f>
        <v>-0.016</v>
      </c>
      <c r="E125" s="26" t="n">
        <f aca="false">'Données Contrats'!E125</f>
        <v>-0.0152149106124002</v>
      </c>
      <c r="F125" s="5" t="str">
        <f aca="false">'Données Contrats'!F125</f>
        <v>Mineur</v>
      </c>
      <c r="G125" s="27" t="n">
        <f aca="false">IF(F125="OK","-",'Données Contrats'!B125)</f>
        <v>1.0516</v>
      </c>
    </row>
    <row r="126" customFormat="false" ht="15" hidden="false" customHeight="true" outlineLevel="0" collapsed="false">
      <c r="A126" s="5" t="str">
        <f aca="false">'Données Contrats'!A126</f>
        <v>CTR-10122</v>
      </c>
      <c r="B126" s="7" t="n">
        <f aca="false">'Données Contrats'!B126</f>
        <v>1</v>
      </c>
      <c r="C126" s="7" t="n">
        <f aca="false">'Données Contrats'!C126</f>
        <v>1</v>
      </c>
      <c r="D126" s="25" t="n">
        <f aca="false">'Données Contrats'!D126</f>
        <v>0</v>
      </c>
      <c r="E126" s="26" t="n">
        <f aca="false">'Données Contrats'!E126</f>
        <v>0</v>
      </c>
      <c r="F126" s="5" t="str">
        <f aca="false">'Données Contrats'!F126</f>
        <v>OK</v>
      </c>
      <c r="G126" s="27" t="str">
        <f aca="false">IF(F126="OK","-",'Données Contrats'!B126)</f>
        <v>-</v>
      </c>
    </row>
    <row r="127" customFormat="false" ht="15" hidden="false" customHeight="true" outlineLevel="0" collapsed="false">
      <c r="A127" s="5" t="str">
        <f aca="false">'Données Contrats'!A127</f>
        <v>CTR-10123</v>
      </c>
      <c r="B127" s="7" t="n">
        <f aca="false">'Données Contrats'!B127</f>
        <v>1</v>
      </c>
      <c r="C127" s="7" t="n">
        <f aca="false">'Données Contrats'!C127</f>
        <v>1.0271</v>
      </c>
      <c r="D127" s="25" t="n">
        <f aca="false">'Données Contrats'!D127</f>
        <v>0.0270999999999999</v>
      </c>
      <c r="E127" s="26" t="n">
        <f aca="false">'Données Contrats'!E127</f>
        <v>0.0270999999999999</v>
      </c>
      <c r="F127" s="5" t="str">
        <f aca="false">'Données Contrats'!F127</f>
        <v>Critique</v>
      </c>
      <c r="G127" s="27" t="n">
        <f aca="false">IF(F127="OK","-",'Données Contrats'!B127)</f>
        <v>1</v>
      </c>
    </row>
    <row r="128" customFormat="false" ht="15" hidden="false" customHeight="true" outlineLevel="0" collapsed="false">
      <c r="A128" s="5" t="str">
        <f aca="false">'Données Contrats'!A128</f>
        <v>CTR-10124</v>
      </c>
      <c r="B128" s="7" t="n">
        <f aca="false">'Données Contrats'!B128</f>
        <v>1.0766</v>
      </c>
      <c r="C128" s="7" t="n">
        <f aca="false">'Données Contrats'!C128</f>
        <v>1.0766</v>
      </c>
      <c r="D128" s="25" t="n">
        <f aca="false">'Données Contrats'!D128</f>
        <v>0</v>
      </c>
      <c r="E128" s="26" t="n">
        <f aca="false">'Données Contrats'!E128</f>
        <v>0</v>
      </c>
      <c r="F128" s="5" t="str">
        <f aca="false">'Données Contrats'!F128</f>
        <v>OK</v>
      </c>
      <c r="G128" s="27" t="str">
        <f aca="false">IF(F128="OK","-",'Données Contrats'!B128)</f>
        <v>-</v>
      </c>
    </row>
    <row r="129" customFormat="false" ht="15" hidden="false" customHeight="true" outlineLevel="0" collapsed="false">
      <c r="A129" s="5" t="str">
        <f aca="false">'Données Contrats'!A129</f>
        <v>CTR-10125</v>
      </c>
      <c r="B129" s="7" t="n">
        <f aca="false">'Données Contrats'!B129</f>
        <v>1.1001</v>
      </c>
      <c r="C129" s="7" t="n">
        <f aca="false">'Données Contrats'!C129</f>
        <v>1.1001</v>
      </c>
      <c r="D129" s="25" t="n">
        <f aca="false">'Données Contrats'!D129</f>
        <v>0</v>
      </c>
      <c r="E129" s="26" t="n">
        <f aca="false">'Données Contrats'!E129</f>
        <v>0</v>
      </c>
      <c r="F129" s="5" t="str">
        <f aca="false">'Données Contrats'!F129</f>
        <v>OK</v>
      </c>
      <c r="G129" s="27" t="str">
        <f aca="false">IF(F129="OK","-",'Données Contrats'!B129)</f>
        <v>-</v>
      </c>
    </row>
    <row r="130" customFormat="false" ht="15" hidden="false" customHeight="true" outlineLevel="0" collapsed="false">
      <c r="A130" s="5" t="str">
        <f aca="false">'Données Contrats'!A130</f>
        <v>CTR-10126</v>
      </c>
      <c r="B130" s="7" t="n">
        <f aca="false">'Données Contrats'!B130</f>
        <v>0.9681</v>
      </c>
      <c r="C130" s="7" t="n">
        <f aca="false">'Données Contrats'!C130</f>
        <v>0.9681</v>
      </c>
      <c r="D130" s="25" t="n">
        <f aca="false">'Données Contrats'!D130</f>
        <v>0</v>
      </c>
      <c r="E130" s="26" t="n">
        <f aca="false">'Données Contrats'!E130</f>
        <v>0</v>
      </c>
      <c r="F130" s="5" t="str">
        <f aca="false">'Données Contrats'!F130</f>
        <v>OK</v>
      </c>
      <c r="G130" s="27" t="str">
        <f aca="false">IF(F130="OK","-",'Données Contrats'!B130)</f>
        <v>-</v>
      </c>
    </row>
    <row r="131" customFormat="false" ht="15" hidden="false" customHeight="true" outlineLevel="0" collapsed="false">
      <c r="A131" s="5" t="str">
        <f aca="false">'Données Contrats'!A131</f>
        <v>CTR-10127</v>
      </c>
      <c r="B131" s="7" t="n">
        <f aca="false">'Données Contrats'!B131</f>
        <v>1.1176</v>
      </c>
      <c r="C131" s="7" t="n">
        <f aca="false">'Données Contrats'!C131</f>
        <v>1.1176</v>
      </c>
      <c r="D131" s="25" t="n">
        <f aca="false">'Données Contrats'!D131</f>
        <v>0</v>
      </c>
      <c r="E131" s="26" t="n">
        <f aca="false">'Données Contrats'!E131</f>
        <v>0</v>
      </c>
      <c r="F131" s="5" t="str">
        <f aca="false">'Données Contrats'!F131</f>
        <v>OK</v>
      </c>
      <c r="G131" s="27" t="str">
        <f aca="false">IF(F131="OK","-",'Données Contrats'!B131)</f>
        <v>-</v>
      </c>
    </row>
    <row r="132" customFormat="false" ht="15" hidden="false" customHeight="true" outlineLevel="0" collapsed="false">
      <c r="A132" s="5" t="str">
        <f aca="false">'Données Contrats'!A132</f>
        <v>CTR-10128</v>
      </c>
      <c r="B132" s="7" t="n">
        <f aca="false">'Données Contrats'!B132</f>
        <v>1</v>
      </c>
      <c r="C132" s="7" t="n">
        <f aca="false">'Données Contrats'!C132</f>
        <v>1</v>
      </c>
      <c r="D132" s="25" t="n">
        <f aca="false">'Données Contrats'!D132</f>
        <v>0</v>
      </c>
      <c r="E132" s="26" t="n">
        <f aca="false">'Données Contrats'!E132</f>
        <v>0</v>
      </c>
      <c r="F132" s="5" t="str">
        <f aca="false">'Données Contrats'!F132</f>
        <v>OK</v>
      </c>
      <c r="G132" s="27" t="str">
        <f aca="false">IF(F132="OK","-",'Données Contrats'!B132)</f>
        <v>-</v>
      </c>
    </row>
    <row r="133" customFormat="false" ht="15" hidden="false" customHeight="true" outlineLevel="0" collapsed="false">
      <c r="A133" s="5" t="str">
        <f aca="false">'Données Contrats'!A133</f>
        <v>CTR-10129</v>
      </c>
      <c r="B133" s="7" t="n">
        <f aca="false">'Données Contrats'!B133</f>
        <v>1</v>
      </c>
      <c r="C133" s="7" t="n">
        <f aca="false">'Données Contrats'!C133</f>
        <v>1</v>
      </c>
      <c r="D133" s="25" t="n">
        <f aca="false">'Données Contrats'!D133</f>
        <v>0</v>
      </c>
      <c r="E133" s="26" t="n">
        <f aca="false">'Données Contrats'!E133</f>
        <v>0</v>
      </c>
      <c r="F133" s="5" t="str">
        <f aca="false">'Données Contrats'!F133</f>
        <v>OK</v>
      </c>
      <c r="G133" s="27" t="str">
        <f aca="false">IF(F133="OK","-",'Données Contrats'!B133)</f>
        <v>-</v>
      </c>
    </row>
    <row r="134" customFormat="false" ht="15" hidden="false" customHeight="true" outlineLevel="0" collapsed="false">
      <c r="A134" s="5" t="str">
        <f aca="false">'Données Contrats'!A134</f>
        <v>CTR-10130</v>
      </c>
      <c r="B134" s="7" t="n">
        <f aca="false">'Données Contrats'!B134</f>
        <v>1.1344</v>
      </c>
      <c r="C134" s="7" t="n">
        <f aca="false">'Données Contrats'!C134</f>
        <v>1.1344</v>
      </c>
      <c r="D134" s="25" t="n">
        <f aca="false">'Données Contrats'!D134</f>
        <v>0</v>
      </c>
      <c r="E134" s="26" t="n">
        <f aca="false">'Données Contrats'!E134</f>
        <v>0</v>
      </c>
      <c r="F134" s="5" t="str">
        <f aca="false">'Données Contrats'!F134</f>
        <v>OK</v>
      </c>
      <c r="G134" s="27" t="str">
        <f aca="false">IF(F134="OK","-",'Données Contrats'!B134)</f>
        <v>-</v>
      </c>
    </row>
    <row r="135" customFormat="false" ht="15" hidden="false" customHeight="true" outlineLevel="0" collapsed="false">
      <c r="A135" s="5" t="str">
        <f aca="false">'Données Contrats'!A135</f>
        <v>CTR-10131</v>
      </c>
      <c r="B135" s="7" t="n">
        <f aca="false">'Données Contrats'!B135</f>
        <v>1.0311</v>
      </c>
      <c r="C135" s="7" t="n">
        <f aca="false">'Données Contrats'!C135</f>
        <v>1.0311</v>
      </c>
      <c r="D135" s="25" t="n">
        <f aca="false">'Données Contrats'!D135</f>
        <v>0</v>
      </c>
      <c r="E135" s="26" t="n">
        <f aca="false">'Données Contrats'!E135</f>
        <v>0</v>
      </c>
      <c r="F135" s="5" t="str">
        <f aca="false">'Données Contrats'!F135</f>
        <v>OK</v>
      </c>
      <c r="G135" s="27" t="str">
        <f aca="false">IF(F135="OK","-",'Données Contrats'!B135)</f>
        <v>-</v>
      </c>
    </row>
    <row r="136" customFormat="false" ht="15" hidden="false" customHeight="true" outlineLevel="0" collapsed="false">
      <c r="A136" s="5" t="str">
        <f aca="false">'Données Contrats'!A136</f>
        <v>CTR-10132</v>
      </c>
      <c r="B136" s="7" t="n">
        <f aca="false">'Données Contrats'!B136</f>
        <v>1</v>
      </c>
      <c r="C136" s="7" t="n">
        <f aca="false">'Données Contrats'!C136</f>
        <v>1</v>
      </c>
      <c r="D136" s="25" t="n">
        <f aca="false">'Données Contrats'!D136</f>
        <v>0</v>
      </c>
      <c r="E136" s="26" t="n">
        <f aca="false">'Données Contrats'!E136</f>
        <v>0</v>
      </c>
      <c r="F136" s="5" t="str">
        <f aca="false">'Données Contrats'!F136</f>
        <v>OK</v>
      </c>
      <c r="G136" s="27" t="str">
        <f aca="false">IF(F136="OK","-",'Données Contrats'!B136)</f>
        <v>-</v>
      </c>
    </row>
    <row r="137" customFormat="false" ht="15" hidden="false" customHeight="true" outlineLevel="0" collapsed="false">
      <c r="A137" s="5" t="str">
        <f aca="false">'Données Contrats'!A137</f>
        <v>CTR-10133</v>
      </c>
      <c r="B137" s="7" t="n">
        <f aca="false">'Données Contrats'!B137</f>
        <v>0.9393</v>
      </c>
      <c r="C137" s="7" t="n">
        <f aca="false">'Données Contrats'!C137</f>
        <v>0.9393</v>
      </c>
      <c r="D137" s="25" t="n">
        <f aca="false">'Données Contrats'!D137</f>
        <v>0</v>
      </c>
      <c r="E137" s="26" t="n">
        <f aca="false">'Données Contrats'!E137</f>
        <v>0</v>
      </c>
      <c r="F137" s="5" t="str">
        <f aca="false">'Données Contrats'!F137</f>
        <v>OK</v>
      </c>
      <c r="G137" s="27" t="str">
        <f aca="false">IF(F137="OK","-",'Données Contrats'!B137)</f>
        <v>-</v>
      </c>
    </row>
    <row r="138" customFormat="false" ht="15" hidden="false" customHeight="true" outlineLevel="0" collapsed="false">
      <c r="A138" s="5" t="str">
        <f aca="false">'Données Contrats'!A138</f>
        <v>CTR-10134</v>
      </c>
      <c r="B138" s="7" t="n">
        <f aca="false">'Données Contrats'!B138</f>
        <v>1.0516</v>
      </c>
      <c r="C138" s="7" t="n">
        <f aca="false">'Données Contrats'!C138</f>
        <v>1.0516</v>
      </c>
      <c r="D138" s="25" t="n">
        <f aca="false">'Données Contrats'!D138</f>
        <v>0</v>
      </c>
      <c r="E138" s="26" t="n">
        <f aca="false">'Données Contrats'!E138</f>
        <v>0</v>
      </c>
      <c r="F138" s="5" t="str">
        <f aca="false">'Données Contrats'!F138</f>
        <v>OK</v>
      </c>
      <c r="G138" s="27" t="str">
        <f aca="false">IF(F138="OK","-",'Données Contrats'!B138)</f>
        <v>-</v>
      </c>
    </row>
    <row r="139" customFormat="false" ht="15" hidden="false" customHeight="true" outlineLevel="0" collapsed="false">
      <c r="A139" s="5" t="str">
        <f aca="false">'Données Contrats'!A139</f>
        <v>CTR-10135</v>
      </c>
      <c r="B139" s="7" t="n">
        <f aca="false">'Données Contrats'!B139</f>
        <v>1</v>
      </c>
      <c r="C139" s="7" t="n">
        <f aca="false">'Données Contrats'!C139</f>
        <v>1</v>
      </c>
      <c r="D139" s="25" t="n">
        <f aca="false">'Données Contrats'!D139</f>
        <v>0</v>
      </c>
      <c r="E139" s="26" t="n">
        <f aca="false">'Données Contrats'!E139</f>
        <v>0</v>
      </c>
      <c r="F139" s="5" t="str">
        <f aca="false">'Données Contrats'!F139</f>
        <v>OK</v>
      </c>
      <c r="G139" s="27" t="str">
        <f aca="false">IF(F139="OK","-",'Données Contrats'!B139)</f>
        <v>-</v>
      </c>
    </row>
    <row r="140" customFormat="false" ht="15" hidden="false" customHeight="true" outlineLevel="0" collapsed="false">
      <c r="A140" s="5" t="str">
        <f aca="false">'Données Contrats'!A140</f>
        <v>CTR-10136</v>
      </c>
      <c r="B140" s="7" t="n">
        <f aca="false">'Données Contrats'!B140</f>
        <v>0.9201</v>
      </c>
      <c r="C140" s="7" t="n">
        <f aca="false">'Données Contrats'!C140</f>
        <v>0.9201</v>
      </c>
      <c r="D140" s="25" t="n">
        <f aca="false">'Données Contrats'!D140</f>
        <v>0</v>
      </c>
      <c r="E140" s="26" t="n">
        <f aca="false">'Données Contrats'!E140</f>
        <v>0</v>
      </c>
      <c r="F140" s="5" t="str">
        <f aca="false">'Données Contrats'!F140</f>
        <v>OK</v>
      </c>
      <c r="G140" s="27" t="str">
        <f aca="false">IF(F140="OK","-",'Données Contrats'!B140)</f>
        <v>-</v>
      </c>
    </row>
    <row r="141" customFormat="false" ht="15" hidden="false" customHeight="true" outlineLevel="0" collapsed="false">
      <c r="A141" s="5" t="str">
        <f aca="false">'Données Contrats'!A141</f>
        <v>CTR-10137</v>
      </c>
      <c r="B141" s="7" t="n">
        <f aca="false">'Données Contrats'!B141</f>
        <v>1.1436</v>
      </c>
      <c r="C141" s="7" t="n">
        <f aca="false">'Données Contrats'!C141</f>
        <v>1.1436</v>
      </c>
      <c r="D141" s="25" t="n">
        <f aca="false">'Données Contrats'!D141</f>
        <v>0</v>
      </c>
      <c r="E141" s="26" t="n">
        <f aca="false">'Données Contrats'!E141</f>
        <v>0</v>
      </c>
      <c r="F141" s="5" t="str">
        <f aca="false">'Données Contrats'!F141</f>
        <v>OK</v>
      </c>
      <c r="G141" s="27" t="str">
        <f aca="false">IF(F141="OK","-",'Données Contrats'!B141)</f>
        <v>-</v>
      </c>
    </row>
    <row r="142" customFormat="false" ht="15" hidden="false" customHeight="true" outlineLevel="0" collapsed="false">
      <c r="A142" s="5" t="str">
        <f aca="false">'Données Contrats'!A142</f>
        <v>CTR-10138</v>
      </c>
      <c r="B142" s="7" t="n">
        <f aca="false">'Données Contrats'!B142</f>
        <v>1.0829</v>
      </c>
      <c r="C142" s="7" t="n">
        <f aca="false">'Données Contrats'!C142</f>
        <v>1.0829</v>
      </c>
      <c r="D142" s="25" t="n">
        <f aca="false">'Données Contrats'!D142</f>
        <v>0</v>
      </c>
      <c r="E142" s="26" t="n">
        <f aca="false">'Données Contrats'!E142</f>
        <v>0</v>
      </c>
      <c r="F142" s="5" t="str">
        <f aca="false">'Données Contrats'!F142</f>
        <v>OK</v>
      </c>
      <c r="G142" s="27" t="str">
        <f aca="false">IF(F142="OK","-",'Données Contrats'!B142)</f>
        <v>-</v>
      </c>
    </row>
    <row r="143" customFormat="false" ht="15" hidden="false" customHeight="true" outlineLevel="0" collapsed="false">
      <c r="A143" s="5" t="str">
        <f aca="false">'Données Contrats'!A143</f>
        <v>CTR-10139</v>
      </c>
      <c r="B143" s="7" t="n">
        <f aca="false">'Données Contrats'!B143</f>
        <v>0.9608</v>
      </c>
      <c r="C143" s="7" t="n">
        <f aca="false">'Données Contrats'!C143</f>
        <v>0.9852</v>
      </c>
      <c r="D143" s="25" t="n">
        <f aca="false">'Données Contrats'!D143</f>
        <v>0.0244</v>
      </c>
      <c r="E143" s="26" t="n">
        <f aca="false">'Données Contrats'!E143</f>
        <v>0.0253955037468776</v>
      </c>
      <c r="F143" s="5" t="str">
        <f aca="false">'Données Contrats'!F143</f>
        <v>Critique</v>
      </c>
      <c r="G143" s="27" t="n">
        <f aca="false">IF(F143="OK","-",'Données Contrats'!B143)</f>
        <v>0.9608</v>
      </c>
    </row>
    <row r="144" customFormat="false" ht="15" hidden="false" customHeight="true" outlineLevel="0" collapsed="false">
      <c r="A144" s="5" t="str">
        <f aca="false">'Données Contrats'!A144</f>
        <v>CTR-10140</v>
      </c>
      <c r="B144" s="7" t="n">
        <f aca="false">'Données Contrats'!B144</f>
        <v>1.1467</v>
      </c>
      <c r="C144" s="7" t="n">
        <f aca="false">'Données Contrats'!C144</f>
        <v>1.1467</v>
      </c>
      <c r="D144" s="25" t="n">
        <f aca="false">'Données Contrats'!D144</f>
        <v>0</v>
      </c>
      <c r="E144" s="26" t="n">
        <f aca="false">'Données Contrats'!E144</f>
        <v>0</v>
      </c>
      <c r="F144" s="5" t="str">
        <f aca="false">'Données Contrats'!F144</f>
        <v>OK</v>
      </c>
      <c r="G144" s="27" t="str">
        <f aca="false">IF(F144="OK","-",'Données Contrats'!B144)</f>
        <v>-</v>
      </c>
    </row>
    <row r="145" customFormat="false" ht="15" hidden="false" customHeight="true" outlineLevel="0" collapsed="false">
      <c r="A145" s="5" t="str">
        <f aca="false">'Données Contrats'!A145</f>
        <v>CTR-10141</v>
      </c>
      <c r="B145" s="7" t="n">
        <f aca="false">'Données Contrats'!B145</f>
        <v>1</v>
      </c>
      <c r="C145" s="7" t="n">
        <f aca="false">'Données Contrats'!C145</f>
        <v>1</v>
      </c>
      <c r="D145" s="25" t="n">
        <f aca="false">'Données Contrats'!D145</f>
        <v>0</v>
      </c>
      <c r="E145" s="26" t="n">
        <f aca="false">'Données Contrats'!E145</f>
        <v>0</v>
      </c>
      <c r="F145" s="5" t="str">
        <f aca="false">'Données Contrats'!F145</f>
        <v>OK</v>
      </c>
      <c r="G145" s="27" t="str">
        <f aca="false">IF(F145="OK","-",'Données Contrats'!B145)</f>
        <v>-</v>
      </c>
    </row>
    <row r="146" customFormat="false" ht="15" hidden="false" customHeight="true" outlineLevel="0" collapsed="false">
      <c r="A146" s="5" t="str">
        <f aca="false">'Données Contrats'!A146</f>
        <v>CTR-10142</v>
      </c>
      <c r="B146" s="7" t="n">
        <f aca="false">'Données Contrats'!B146</f>
        <v>1</v>
      </c>
      <c r="C146" s="7" t="n">
        <f aca="false">'Données Contrats'!C146</f>
        <v>1</v>
      </c>
      <c r="D146" s="25" t="n">
        <f aca="false">'Données Contrats'!D146</f>
        <v>0</v>
      </c>
      <c r="E146" s="26" t="n">
        <f aca="false">'Données Contrats'!E146</f>
        <v>0</v>
      </c>
      <c r="F146" s="5" t="str">
        <f aca="false">'Données Contrats'!F146</f>
        <v>OK</v>
      </c>
      <c r="G146" s="27" t="str">
        <f aca="false">IF(F146="OK","-",'Données Contrats'!B146)</f>
        <v>-</v>
      </c>
    </row>
    <row r="147" customFormat="false" ht="15" hidden="false" customHeight="true" outlineLevel="0" collapsed="false">
      <c r="A147" s="5" t="str">
        <f aca="false">'Données Contrats'!A147</f>
        <v>CTR-10143</v>
      </c>
      <c r="B147" s="7" t="n">
        <f aca="false">'Données Contrats'!B147</f>
        <v>1</v>
      </c>
      <c r="C147" s="7" t="n">
        <f aca="false">'Données Contrats'!C147</f>
        <v>1</v>
      </c>
      <c r="D147" s="25" t="n">
        <f aca="false">'Données Contrats'!D147</f>
        <v>0</v>
      </c>
      <c r="E147" s="26" t="n">
        <f aca="false">'Données Contrats'!E147</f>
        <v>0</v>
      </c>
      <c r="F147" s="5" t="str">
        <f aca="false">'Données Contrats'!F147</f>
        <v>OK</v>
      </c>
      <c r="G147" s="27" t="str">
        <f aca="false">IF(F147="OK","-",'Données Contrats'!B147)</f>
        <v>-</v>
      </c>
    </row>
    <row r="148" customFormat="false" ht="15" hidden="false" customHeight="true" outlineLevel="0" collapsed="false">
      <c r="A148" s="5" t="str">
        <f aca="false">'Données Contrats'!A148</f>
        <v>CTR-10144</v>
      </c>
      <c r="B148" s="7" t="n">
        <f aca="false">'Données Contrats'!B148</f>
        <v>1.0839</v>
      </c>
      <c r="C148" s="7" t="n">
        <f aca="false">'Données Contrats'!C148</f>
        <v>1.0839</v>
      </c>
      <c r="D148" s="25" t="n">
        <f aca="false">'Données Contrats'!D148</f>
        <v>0</v>
      </c>
      <c r="E148" s="26" t="n">
        <f aca="false">'Données Contrats'!E148</f>
        <v>0</v>
      </c>
      <c r="F148" s="5" t="str">
        <f aca="false">'Données Contrats'!F148</f>
        <v>OK</v>
      </c>
      <c r="G148" s="27" t="str">
        <f aca="false">IF(F148="OK","-",'Données Contrats'!B148)</f>
        <v>-</v>
      </c>
    </row>
    <row r="149" customFormat="false" ht="15" hidden="false" customHeight="true" outlineLevel="0" collapsed="false">
      <c r="A149" s="5" t="str">
        <f aca="false">'Données Contrats'!A149</f>
        <v>CTR-10145</v>
      </c>
      <c r="B149" s="7" t="n">
        <f aca="false">'Données Contrats'!B149</f>
        <v>1.0394</v>
      </c>
      <c r="C149" s="7" t="n">
        <f aca="false">'Données Contrats'!C149</f>
        <v>1.051</v>
      </c>
      <c r="D149" s="25" t="n">
        <f aca="false">'Données Contrats'!D149</f>
        <v>0.0115999999999998</v>
      </c>
      <c r="E149" s="26" t="n">
        <f aca="false">'Données Contrats'!E149</f>
        <v>0.0111602847796804</v>
      </c>
      <c r="F149" s="5" t="str">
        <f aca="false">'Données Contrats'!F149</f>
        <v>Mineur</v>
      </c>
      <c r="G149" s="27" t="n">
        <f aca="false">IF(F149="OK","-",'Données Contrats'!B149)</f>
        <v>1.0394</v>
      </c>
    </row>
    <row r="150" customFormat="false" ht="15" hidden="false" customHeight="true" outlineLevel="0" collapsed="false">
      <c r="A150" s="5" t="str">
        <f aca="false">'Données Contrats'!A150</f>
        <v>CTR-10146</v>
      </c>
      <c r="B150" s="7" t="n">
        <f aca="false">'Données Contrats'!B150</f>
        <v>0.9485</v>
      </c>
      <c r="C150" s="7" t="n">
        <f aca="false">'Données Contrats'!C150</f>
        <v>0.908</v>
      </c>
      <c r="D150" s="25" t="n">
        <f aca="false">'Données Contrats'!D150</f>
        <v>-0.0405</v>
      </c>
      <c r="E150" s="26" t="n">
        <f aca="false">'Données Contrats'!E150</f>
        <v>-0.0426989984185556</v>
      </c>
      <c r="F150" s="5" t="str">
        <f aca="false">'Données Contrats'!F150</f>
        <v>Critique</v>
      </c>
      <c r="G150" s="27" t="n">
        <f aca="false">IF(F150="OK","-",'Données Contrats'!B150)</f>
        <v>0.9485</v>
      </c>
    </row>
    <row r="151" customFormat="false" ht="15" hidden="false" customHeight="true" outlineLevel="0" collapsed="false">
      <c r="A151" s="5" t="str">
        <f aca="false">'Données Contrats'!A151</f>
        <v>CTR-10147</v>
      </c>
      <c r="B151" s="7" t="n">
        <f aca="false">'Données Contrats'!B151</f>
        <v>1.1007</v>
      </c>
      <c r="C151" s="7" t="n">
        <f aca="false">'Données Contrats'!C151</f>
        <v>1.1007</v>
      </c>
      <c r="D151" s="25" t="n">
        <f aca="false">'Données Contrats'!D151</f>
        <v>0</v>
      </c>
      <c r="E151" s="26" t="n">
        <f aca="false">'Données Contrats'!E151</f>
        <v>0</v>
      </c>
      <c r="F151" s="5" t="str">
        <f aca="false">'Données Contrats'!F151</f>
        <v>OK</v>
      </c>
      <c r="G151" s="27" t="str">
        <f aca="false">IF(F151="OK","-",'Données Contrats'!B151)</f>
        <v>-</v>
      </c>
    </row>
    <row r="152" customFormat="false" ht="15" hidden="false" customHeight="true" outlineLevel="0" collapsed="false">
      <c r="A152" s="5" t="str">
        <f aca="false">'Données Contrats'!A152</f>
        <v>CTR-10148</v>
      </c>
      <c r="B152" s="7" t="n">
        <f aca="false">'Données Contrats'!B152</f>
        <v>0.9528</v>
      </c>
      <c r="C152" s="7" t="n">
        <f aca="false">'Données Contrats'!C152</f>
        <v>0.9528</v>
      </c>
      <c r="D152" s="25" t="n">
        <f aca="false">'Données Contrats'!D152</f>
        <v>0</v>
      </c>
      <c r="E152" s="26" t="n">
        <f aca="false">'Données Contrats'!E152</f>
        <v>0</v>
      </c>
      <c r="F152" s="5" t="str">
        <f aca="false">'Données Contrats'!F152</f>
        <v>OK</v>
      </c>
      <c r="G152" s="27" t="str">
        <f aca="false">IF(F152="OK","-",'Données Contrats'!B152)</f>
        <v>-</v>
      </c>
    </row>
    <row r="153" customFormat="false" ht="15" hidden="false" customHeight="true" outlineLevel="0" collapsed="false">
      <c r="A153" s="5" t="str">
        <f aca="false">'Données Contrats'!A153</f>
        <v>CTR-10149</v>
      </c>
      <c r="B153" s="7" t="n">
        <f aca="false">'Données Contrats'!B153</f>
        <v>1.0731</v>
      </c>
      <c r="C153" s="7" t="n">
        <f aca="false">'Données Contrats'!C153</f>
        <v>1.0731</v>
      </c>
      <c r="D153" s="25" t="n">
        <f aca="false">'Données Contrats'!D153</f>
        <v>0</v>
      </c>
      <c r="E153" s="26" t="n">
        <f aca="false">'Données Contrats'!E153</f>
        <v>0</v>
      </c>
      <c r="F153" s="5" t="str">
        <f aca="false">'Données Contrats'!F153</f>
        <v>OK</v>
      </c>
      <c r="G153" s="27" t="str">
        <f aca="false">IF(F153="OK","-",'Données Contrats'!B153)</f>
        <v>-</v>
      </c>
    </row>
    <row r="154" customFormat="false" ht="15" hidden="false" customHeight="true" outlineLevel="0" collapsed="false">
      <c r="A154" s="5" t="str">
        <f aca="false">'Données Contrats'!A154</f>
        <v>CTR-10150</v>
      </c>
      <c r="B154" s="7" t="n">
        <f aca="false">'Données Contrats'!B154</f>
        <v>1.0501</v>
      </c>
      <c r="C154" s="7" t="n">
        <f aca="false">'Données Contrats'!C154</f>
        <v>1.0501</v>
      </c>
      <c r="D154" s="25" t="n">
        <f aca="false">'Données Contrats'!D154</f>
        <v>0</v>
      </c>
      <c r="E154" s="26" t="n">
        <f aca="false">'Données Contrats'!E154</f>
        <v>0</v>
      </c>
      <c r="F154" s="5" t="str">
        <f aca="false">'Données Contrats'!F154</f>
        <v>OK</v>
      </c>
      <c r="G154" s="27" t="str">
        <f aca="false">IF(F154="OK","-",'Données Contrats'!B154)</f>
        <v>-</v>
      </c>
    </row>
    <row r="155" customFormat="false" ht="15" hidden="false" customHeight="true" outlineLevel="0" collapsed="false">
      <c r="A155" s="5" t="str">
        <f aca="false">'Données Contrats'!A155</f>
        <v>CTR-10151</v>
      </c>
      <c r="B155" s="7" t="n">
        <f aca="false">'Données Contrats'!B155</f>
        <v>0.9688</v>
      </c>
      <c r="C155" s="7" t="n">
        <f aca="false">'Données Contrats'!C155</f>
        <v>1.0038</v>
      </c>
      <c r="D155" s="25" t="n">
        <f aca="false">'Données Contrats'!D155</f>
        <v>0.035</v>
      </c>
      <c r="E155" s="26" t="n">
        <f aca="false">'Données Contrats'!E155</f>
        <v>0.0361271676300578</v>
      </c>
      <c r="F155" s="5" t="str">
        <f aca="false">'Données Contrats'!F155</f>
        <v>Critique</v>
      </c>
      <c r="G155" s="27" t="n">
        <f aca="false">IF(F155="OK","-",'Données Contrats'!B155)</f>
        <v>0.9688</v>
      </c>
    </row>
    <row r="156" customFormat="false" ht="15" hidden="false" customHeight="true" outlineLevel="0" collapsed="false">
      <c r="A156" s="5" t="str">
        <f aca="false">'Données Contrats'!A156</f>
        <v>CTR-10152</v>
      </c>
      <c r="B156" s="7" t="n">
        <f aca="false">'Données Contrats'!B156</f>
        <v>1.0908</v>
      </c>
      <c r="C156" s="7" t="n">
        <f aca="false">'Données Contrats'!C156</f>
        <v>1.0908</v>
      </c>
      <c r="D156" s="25" t="n">
        <f aca="false">'Données Contrats'!D156</f>
        <v>0</v>
      </c>
      <c r="E156" s="26" t="n">
        <f aca="false">'Données Contrats'!E156</f>
        <v>0</v>
      </c>
      <c r="F156" s="5" t="str">
        <f aca="false">'Données Contrats'!F156</f>
        <v>OK</v>
      </c>
      <c r="G156" s="27" t="str">
        <f aca="false">IF(F156="OK","-",'Données Contrats'!B156)</f>
        <v>-</v>
      </c>
    </row>
    <row r="157" customFormat="false" ht="15" hidden="false" customHeight="true" outlineLevel="0" collapsed="false">
      <c r="A157" s="5" t="str">
        <f aca="false">'Données Contrats'!A157</f>
        <v>CTR-10153</v>
      </c>
      <c r="B157" s="7" t="n">
        <f aca="false">'Données Contrats'!B157</f>
        <v>0.9213</v>
      </c>
      <c r="C157" s="7" t="n">
        <f aca="false">'Données Contrats'!C157</f>
        <v>0.9213</v>
      </c>
      <c r="D157" s="25" t="n">
        <f aca="false">'Données Contrats'!D157</f>
        <v>0</v>
      </c>
      <c r="E157" s="26" t="n">
        <f aca="false">'Données Contrats'!E157</f>
        <v>0</v>
      </c>
      <c r="F157" s="5" t="str">
        <f aca="false">'Données Contrats'!F157</f>
        <v>OK</v>
      </c>
      <c r="G157" s="27" t="str">
        <f aca="false">IF(F157="OK","-",'Données Contrats'!B157)</f>
        <v>-</v>
      </c>
    </row>
    <row r="158" customFormat="false" ht="15" hidden="false" customHeight="true" outlineLevel="0" collapsed="false">
      <c r="A158" s="5" t="str">
        <f aca="false">'Données Contrats'!A158</f>
        <v>CTR-10154</v>
      </c>
      <c r="B158" s="7" t="n">
        <f aca="false">'Données Contrats'!B158</f>
        <v>1.1174</v>
      </c>
      <c r="C158" s="7" t="n">
        <f aca="false">'Données Contrats'!C158</f>
        <v>1.0782</v>
      </c>
      <c r="D158" s="25" t="n">
        <f aca="false">'Données Contrats'!D158</f>
        <v>-0.0391999999999999</v>
      </c>
      <c r="E158" s="26" t="n">
        <f aca="false">'Données Contrats'!E158</f>
        <v>-0.0350814390549489</v>
      </c>
      <c r="F158" s="5" t="str">
        <f aca="false">'Données Contrats'!F158</f>
        <v>Critique</v>
      </c>
      <c r="G158" s="27" t="n">
        <f aca="false">IF(F158="OK","-",'Données Contrats'!B158)</f>
        <v>1.1174</v>
      </c>
    </row>
    <row r="159" customFormat="false" ht="15" hidden="false" customHeight="true" outlineLevel="0" collapsed="false">
      <c r="A159" s="5" t="str">
        <f aca="false">'Données Contrats'!A159</f>
        <v>CTR-10155</v>
      </c>
      <c r="B159" s="7" t="n">
        <f aca="false">'Données Contrats'!B159</f>
        <v>1</v>
      </c>
      <c r="C159" s="7" t="n">
        <f aca="false">'Données Contrats'!C159</f>
        <v>1</v>
      </c>
      <c r="D159" s="25" t="n">
        <f aca="false">'Données Contrats'!D159</f>
        <v>0</v>
      </c>
      <c r="E159" s="26" t="n">
        <f aca="false">'Données Contrats'!E159</f>
        <v>0</v>
      </c>
      <c r="F159" s="5" t="str">
        <f aca="false">'Données Contrats'!F159</f>
        <v>OK</v>
      </c>
      <c r="G159" s="27" t="str">
        <f aca="false">IF(F159="OK","-",'Données Contrats'!B159)</f>
        <v>-</v>
      </c>
    </row>
    <row r="160" customFormat="false" ht="15" hidden="false" customHeight="true" outlineLevel="0" collapsed="false">
      <c r="A160" s="5" t="str">
        <f aca="false">'Données Contrats'!A160</f>
        <v>CTR-10156</v>
      </c>
      <c r="B160" s="7" t="n">
        <f aca="false">'Données Contrats'!B160</f>
        <v>1.1356</v>
      </c>
      <c r="C160" s="7" t="n">
        <f aca="false">'Données Contrats'!C160</f>
        <v>1.1356</v>
      </c>
      <c r="D160" s="25" t="n">
        <f aca="false">'Données Contrats'!D160</f>
        <v>0</v>
      </c>
      <c r="E160" s="26" t="n">
        <f aca="false">'Données Contrats'!E160</f>
        <v>0</v>
      </c>
      <c r="F160" s="5" t="str">
        <f aca="false">'Données Contrats'!F160</f>
        <v>OK</v>
      </c>
      <c r="G160" s="27" t="str">
        <f aca="false">IF(F160="OK","-",'Données Contrats'!B160)</f>
        <v>-</v>
      </c>
    </row>
    <row r="161" customFormat="false" ht="15" hidden="false" customHeight="true" outlineLevel="0" collapsed="false">
      <c r="A161" s="5" t="str">
        <f aca="false">'Données Contrats'!A161</f>
        <v>CTR-10157</v>
      </c>
      <c r="B161" s="7" t="n">
        <f aca="false">'Données Contrats'!B161</f>
        <v>1.0319</v>
      </c>
      <c r="C161" s="7" t="n">
        <f aca="false">'Données Contrats'!C161</f>
        <v>1.0319</v>
      </c>
      <c r="D161" s="25" t="n">
        <f aca="false">'Données Contrats'!D161</f>
        <v>0</v>
      </c>
      <c r="E161" s="26" t="n">
        <f aca="false">'Données Contrats'!E161</f>
        <v>0</v>
      </c>
      <c r="F161" s="5" t="str">
        <f aca="false">'Données Contrats'!F161</f>
        <v>OK</v>
      </c>
      <c r="G161" s="27" t="str">
        <f aca="false">IF(F161="OK","-",'Données Contrats'!B161)</f>
        <v>-</v>
      </c>
    </row>
    <row r="162" customFormat="false" ht="15" hidden="false" customHeight="true" outlineLevel="0" collapsed="false">
      <c r="A162" s="5" t="str">
        <f aca="false">'Données Contrats'!A162</f>
        <v>CTR-10158</v>
      </c>
      <c r="B162" s="7" t="n">
        <f aca="false">'Données Contrats'!B162</f>
        <v>0.9461</v>
      </c>
      <c r="C162" s="7" t="n">
        <f aca="false">'Données Contrats'!C162</f>
        <v>0.9461</v>
      </c>
      <c r="D162" s="25" t="n">
        <f aca="false">'Données Contrats'!D162</f>
        <v>0</v>
      </c>
      <c r="E162" s="26" t="n">
        <f aca="false">'Données Contrats'!E162</f>
        <v>0</v>
      </c>
      <c r="F162" s="5" t="str">
        <f aca="false">'Données Contrats'!F162</f>
        <v>OK</v>
      </c>
      <c r="G162" s="27" t="str">
        <f aca="false">IF(F162="OK","-",'Données Contrats'!B162)</f>
        <v>-</v>
      </c>
    </row>
    <row r="163" customFormat="false" ht="15" hidden="false" customHeight="true" outlineLevel="0" collapsed="false">
      <c r="A163" s="5" t="str">
        <f aca="false">'Données Contrats'!A163</f>
        <v>CTR-10159</v>
      </c>
      <c r="B163" s="7" t="n">
        <f aca="false">'Données Contrats'!B163</f>
        <v>0.9521</v>
      </c>
      <c r="C163" s="7" t="n">
        <f aca="false">'Données Contrats'!C163</f>
        <v>1.0459</v>
      </c>
      <c r="D163" s="25" t="n">
        <f aca="false">'Données Contrats'!D163</f>
        <v>0.0938000000000001</v>
      </c>
      <c r="E163" s="26" t="n">
        <f aca="false">'Données Contrats'!E163</f>
        <v>0.0985190631236216</v>
      </c>
      <c r="F163" s="5" t="str">
        <f aca="false">'Données Contrats'!F163</f>
        <v>Critique</v>
      </c>
      <c r="G163" s="27" t="n">
        <f aca="false">IF(F163="OK","-",'Données Contrats'!B163)</f>
        <v>0.9521</v>
      </c>
    </row>
    <row r="164" customFormat="false" ht="15" hidden="false" customHeight="true" outlineLevel="0" collapsed="false">
      <c r="A164" s="5" t="str">
        <f aca="false">'Données Contrats'!A164</f>
        <v>CTR-10160</v>
      </c>
      <c r="B164" s="7" t="n">
        <f aca="false">'Données Contrats'!B164</f>
        <v>1.0633</v>
      </c>
      <c r="C164" s="7" t="n">
        <f aca="false">'Données Contrats'!C164</f>
        <v>1.0633</v>
      </c>
      <c r="D164" s="25" t="n">
        <f aca="false">'Données Contrats'!D164</f>
        <v>0</v>
      </c>
      <c r="E164" s="26" t="n">
        <f aca="false">'Données Contrats'!E164</f>
        <v>0</v>
      </c>
      <c r="F164" s="5" t="str">
        <f aca="false">'Données Contrats'!F164</f>
        <v>OK</v>
      </c>
      <c r="G164" s="27" t="str">
        <f aca="false">IF(F164="OK","-",'Données Contrats'!B164)</f>
        <v>-</v>
      </c>
    </row>
    <row r="165" customFormat="false" ht="15" hidden="false" customHeight="true" outlineLevel="0" collapsed="false">
      <c r="A165" s="5" t="str">
        <f aca="false">'Données Contrats'!A165</f>
        <v>CTR-10161</v>
      </c>
      <c r="B165" s="7" t="n">
        <f aca="false">'Données Contrats'!B165</f>
        <v>1</v>
      </c>
      <c r="C165" s="7" t="n">
        <f aca="false">'Données Contrats'!C165</f>
        <v>1</v>
      </c>
      <c r="D165" s="25" t="n">
        <f aca="false">'Données Contrats'!D165</f>
        <v>0</v>
      </c>
      <c r="E165" s="26" t="n">
        <f aca="false">'Données Contrats'!E165</f>
        <v>0</v>
      </c>
      <c r="F165" s="5" t="str">
        <f aca="false">'Données Contrats'!F165</f>
        <v>OK</v>
      </c>
      <c r="G165" s="27" t="str">
        <f aca="false">IF(F165="OK","-",'Données Contrats'!B165)</f>
        <v>-</v>
      </c>
    </row>
    <row r="166" customFormat="false" ht="15" hidden="false" customHeight="true" outlineLevel="0" collapsed="false">
      <c r="A166" s="5" t="str">
        <f aca="false">'Données Contrats'!A166</f>
        <v>CTR-10162</v>
      </c>
      <c r="B166" s="7" t="n">
        <f aca="false">'Données Contrats'!B166</f>
        <v>1.1258</v>
      </c>
      <c r="C166" s="7" t="n">
        <f aca="false">'Données Contrats'!C166</f>
        <v>1.1258</v>
      </c>
      <c r="D166" s="25" t="n">
        <f aca="false">'Données Contrats'!D166</f>
        <v>0</v>
      </c>
      <c r="E166" s="26" t="n">
        <f aca="false">'Données Contrats'!E166</f>
        <v>0</v>
      </c>
      <c r="F166" s="5" t="str">
        <f aca="false">'Données Contrats'!F166</f>
        <v>OK</v>
      </c>
      <c r="G166" s="27" t="str">
        <f aca="false">IF(F166="OK","-",'Données Contrats'!B166)</f>
        <v>-</v>
      </c>
    </row>
    <row r="167" customFormat="false" ht="15" hidden="false" customHeight="true" outlineLevel="0" collapsed="false">
      <c r="A167" s="5" t="str">
        <f aca="false">'Données Contrats'!A167</f>
        <v>CTR-10163</v>
      </c>
      <c r="B167" s="7" t="n">
        <f aca="false">'Données Contrats'!B167</f>
        <v>0.907</v>
      </c>
      <c r="C167" s="7" t="n">
        <f aca="false">'Données Contrats'!C167</f>
        <v>1.0046</v>
      </c>
      <c r="D167" s="25" t="n">
        <f aca="false">'Données Contrats'!D167</f>
        <v>0.0975999999999999</v>
      </c>
      <c r="E167" s="26" t="n">
        <f aca="false">'Données Contrats'!E167</f>
        <v>0.10760749724366</v>
      </c>
      <c r="F167" s="5" t="str">
        <f aca="false">'Données Contrats'!F167</f>
        <v>Critique</v>
      </c>
      <c r="G167" s="27" t="n">
        <f aca="false">IF(F167="OK","-",'Données Contrats'!B167)</f>
        <v>0.907</v>
      </c>
    </row>
    <row r="168" customFormat="false" ht="15" hidden="false" customHeight="true" outlineLevel="0" collapsed="false">
      <c r="A168" s="5" t="str">
        <f aca="false">'Données Contrats'!A168</f>
        <v>CTR-10164</v>
      </c>
      <c r="B168" s="7" t="n">
        <f aca="false">'Données Contrats'!B168</f>
        <v>1</v>
      </c>
      <c r="C168" s="7" t="n">
        <f aca="false">'Données Contrats'!C168</f>
        <v>1</v>
      </c>
      <c r="D168" s="25" t="n">
        <f aca="false">'Données Contrats'!D168</f>
        <v>0</v>
      </c>
      <c r="E168" s="26" t="n">
        <f aca="false">'Données Contrats'!E168</f>
        <v>0</v>
      </c>
      <c r="F168" s="5" t="str">
        <f aca="false">'Données Contrats'!F168</f>
        <v>OK</v>
      </c>
      <c r="G168" s="27" t="str">
        <f aca="false">IF(F168="OK","-",'Données Contrats'!B168)</f>
        <v>-</v>
      </c>
    </row>
    <row r="169" customFormat="false" ht="15" hidden="false" customHeight="true" outlineLevel="0" collapsed="false">
      <c r="A169" s="5" t="str">
        <f aca="false">'Données Contrats'!A169</f>
        <v>CTR-10165</v>
      </c>
      <c r="B169" s="7" t="n">
        <f aca="false">'Données Contrats'!B169</f>
        <v>0.9399</v>
      </c>
      <c r="C169" s="7" t="n">
        <f aca="false">'Données Contrats'!C169</f>
        <v>0.9399</v>
      </c>
      <c r="D169" s="25" t="n">
        <f aca="false">'Données Contrats'!D169</f>
        <v>0</v>
      </c>
      <c r="E169" s="26" t="n">
        <f aca="false">'Données Contrats'!E169</f>
        <v>0</v>
      </c>
      <c r="F169" s="5" t="str">
        <f aca="false">'Données Contrats'!F169</f>
        <v>OK</v>
      </c>
      <c r="G169" s="27" t="str">
        <f aca="false">IF(F169="OK","-",'Données Contrats'!B169)</f>
        <v>-</v>
      </c>
    </row>
    <row r="170" customFormat="false" ht="15" hidden="false" customHeight="true" outlineLevel="0" collapsed="false">
      <c r="A170" s="5" t="str">
        <f aca="false">'Données Contrats'!A170</f>
        <v>CTR-10166</v>
      </c>
      <c r="B170" s="7" t="n">
        <f aca="false">'Données Contrats'!B170</f>
        <v>1</v>
      </c>
      <c r="C170" s="7" t="n">
        <f aca="false">'Données Contrats'!C170</f>
        <v>1.0112</v>
      </c>
      <c r="D170" s="25" t="n">
        <f aca="false">'Données Contrats'!D170</f>
        <v>0.0112000000000001</v>
      </c>
      <c r="E170" s="26" t="n">
        <f aca="false">'Données Contrats'!E170</f>
        <v>0.0112000000000001</v>
      </c>
      <c r="F170" s="5" t="str">
        <f aca="false">'Données Contrats'!F170</f>
        <v>Mineur</v>
      </c>
      <c r="G170" s="27" t="n">
        <f aca="false">IF(F170="OK","-",'Données Contrats'!B170)</f>
        <v>1</v>
      </c>
    </row>
    <row r="171" customFormat="false" ht="15" hidden="false" customHeight="true" outlineLevel="0" collapsed="false">
      <c r="A171" s="5" t="str">
        <f aca="false">'Données Contrats'!A171</f>
        <v>CTR-10167</v>
      </c>
      <c r="B171" s="7" t="n">
        <f aca="false">'Données Contrats'!B171</f>
        <v>0.9568</v>
      </c>
      <c r="C171" s="7" t="n">
        <f aca="false">'Données Contrats'!C171</f>
        <v>0.9568</v>
      </c>
      <c r="D171" s="25" t="n">
        <f aca="false">'Données Contrats'!D171</f>
        <v>0</v>
      </c>
      <c r="E171" s="26" t="n">
        <f aca="false">'Données Contrats'!E171</f>
        <v>0</v>
      </c>
      <c r="F171" s="5" t="str">
        <f aca="false">'Données Contrats'!F171</f>
        <v>OK</v>
      </c>
      <c r="G171" s="27" t="str">
        <f aca="false">IF(F171="OK","-",'Données Contrats'!B171)</f>
        <v>-</v>
      </c>
    </row>
    <row r="172" customFormat="false" ht="15" hidden="false" customHeight="true" outlineLevel="0" collapsed="false">
      <c r="A172" s="5" t="str">
        <f aca="false">'Données Contrats'!A172</f>
        <v>CTR-10168</v>
      </c>
      <c r="B172" s="7" t="n">
        <f aca="false">'Données Contrats'!B172</f>
        <v>0.9075</v>
      </c>
      <c r="C172" s="7" t="n">
        <f aca="false">'Données Contrats'!C172</f>
        <v>0.9075</v>
      </c>
      <c r="D172" s="25" t="n">
        <f aca="false">'Données Contrats'!D172</f>
        <v>0</v>
      </c>
      <c r="E172" s="26" t="n">
        <f aca="false">'Données Contrats'!E172</f>
        <v>0</v>
      </c>
      <c r="F172" s="5" t="str">
        <f aca="false">'Données Contrats'!F172</f>
        <v>OK</v>
      </c>
      <c r="G172" s="27" t="str">
        <f aca="false">IF(F172="OK","-",'Données Contrats'!B172)</f>
        <v>-</v>
      </c>
    </row>
    <row r="173" customFormat="false" ht="15" hidden="false" customHeight="true" outlineLevel="0" collapsed="false">
      <c r="A173" s="5" t="str">
        <f aca="false">'Données Contrats'!A173</f>
        <v>CTR-10169</v>
      </c>
      <c r="B173" s="7" t="n">
        <f aca="false">'Données Contrats'!B173</f>
        <v>1</v>
      </c>
      <c r="C173" s="7" t="n">
        <f aca="false">'Données Contrats'!C173</f>
        <v>0.9831</v>
      </c>
      <c r="D173" s="25" t="n">
        <f aca="false">'Données Contrats'!D173</f>
        <v>-0.0169</v>
      </c>
      <c r="E173" s="26" t="n">
        <f aca="false">'Données Contrats'!E173</f>
        <v>-0.0169</v>
      </c>
      <c r="F173" s="5" t="str">
        <f aca="false">'Données Contrats'!F173</f>
        <v>Mineur</v>
      </c>
      <c r="G173" s="27" t="n">
        <f aca="false">IF(F173="OK","-",'Données Contrats'!B173)</f>
        <v>1</v>
      </c>
    </row>
    <row r="174" customFormat="false" ht="15" hidden="false" customHeight="true" outlineLevel="0" collapsed="false">
      <c r="A174" s="5" t="str">
        <f aca="false">'Données Contrats'!A174</f>
        <v>CTR-10170</v>
      </c>
      <c r="B174" s="7" t="n">
        <f aca="false">'Données Contrats'!B174</f>
        <v>1.0517</v>
      </c>
      <c r="C174" s="7" t="n">
        <f aca="false">'Données Contrats'!C174</f>
        <v>1.0517</v>
      </c>
      <c r="D174" s="25" t="n">
        <f aca="false">'Données Contrats'!D174</f>
        <v>0</v>
      </c>
      <c r="E174" s="26" t="n">
        <f aca="false">'Données Contrats'!E174</f>
        <v>0</v>
      </c>
      <c r="F174" s="5" t="str">
        <f aca="false">'Données Contrats'!F174</f>
        <v>OK</v>
      </c>
      <c r="G174" s="27" t="str">
        <f aca="false">IF(F174="OK","-",'Données Contrats'!B174)</f>
        <v>-</v>
      </c>
    </row>
    <row r="175" customFormat="false" ht="15" hidden="false" customHeight="true" outlineLevel="0" collapsed="false">
      <c r="A175" s="5" t="str">
        <f aca="false">'Données Contrats'!A175</f>
        <v>CTR-10171</v>
      </c>
      <c r="B175" s="7" t="n">
        <f aca="false">'Données Contrats'!B175</f>
        <v>1.0979</v>
      </c>
      <c r="C175" s="7" t="n">
        <f aca="false">'Données Contrats'!C175</f>
        <v>1.1559</v>
      </c>
      <c r="D175" s="25" t="n">
        <f aca="false">'Données Contrats'!D175</f>
        <v>0.0579999999999998</v>
      </c>
      <c r="E175" s="26" t="n">
        <f aca="false">'Données Contrats'!E175</f>
        <v>0.0528281264231714</v>
      </c>
      <c r="F175" s="5" t="str">
        <f aca="false">'Données Contrats'!F175</f>
        <v>Critique</v>
      </c>
      <c r="G175" s="27" t="n">
        <f aca="false">IF(F175="OK","-",'Données Contrats'!B175)</f>
        <v>1.0979</v>
      </c>
    </row>
    <row r="176" customFormat="false" ht="15" hidden="false" customHeight="true" outlineLevel="0" collapsed="false">
      <c r="A176" s="5" t="str">
        <f aca="false">'Données Contrats'!A176</f>
        <v>CTR-10172</v>
      </c>
      <c r="B176" s="7" t="n">
        <f aca="false">'Données Contrats'!B176</f>
        <v>1</v>
      </c>
      <c r="C176" s="7" t="n">
        <f aca="false">'Données Contrats'!C176</f>
        <v>1.0174</v>
      </c>
      <c r="D176" s="25" t="n">
        <f aca="false">'Données Contrats'!D176</f>
        <v>0.0174000000000001</v>
      </c>
      <c r="E176" s="26" t="n">
        <f aca="false">'Données Contrats'!E176</f>
        <v>0.0174000000000001</v>
      </c>
      <c r="F176" s="5" t="str">
        <f aca="false">'Données Contrats'!F176</f>
        <v>Mineur</v>
      </c>
      <c r="G176" s="27" t="n">
        <f aca="false">IF(F176="OK","-",'Données Contrats'!B176)</f>
        <v>1</v>
      </c>
    </row>
    <row r="177" customFormat="false" ht="15" hidden="false" customHeight="true" outlineLevel="0" collapsed="false">
      <c r="A177" s="5" t="str">
        <f aca="false">'Données Contrats'!A177</f>
        <v>CTR-10173</v>
      </c>
      <c r="B177" s="7" t="n">
        <f aca="false">'Données Contrats'!B177</f>
        <v>1</v>
      </c>
      <c r="C177" s="7" t="n">
        <f aca="false">'Données Contrats'!C177</f>
        <v>1</v>
      </c>
      <c r="D177" s="25" t="n">
        <f aca="false">'Données Contrats'!D177</f>
        <v>0</v>
      </c>
      <c r="E177" s="26" t="n">
        <f aca="false">'Données Contrats'!E177</f>
        <v>0</v>
      </c>
      <c r="F177" s="5" t="str">
        <f aca="false">'Données Contrats'!F177</f>
        <v>OK</v>
      </c>
      <c r="G177" s="27" t="str">
        <f aca="false">IF(F177="OK","-",'Données Contrats'!B177)</f>
        <v>-</v>
      </c>
    </row>
    <row r="178" customFormat="false" ht="15" hidden="false" customHeight="true" outlineLevel="0" collapsed="false">
      <c r="A178" s="5" t="str">
        <f aca="false">'Données Contrats'!A178</f>
        <v>CTR-10174</v>
      </c>
      <c r="B178" s="7" t="n">
        <f aca="false">'Données Contrats'!B178</f>
        <v>1</v>
      </c>
      <c r="C178" s="7" t="n">
        <f aca="false">'Données Contrats'!C178</f>
        <v>0.9478</v>
      </c>
      <c r="D178" s="25" t="n">
        <f aca="false">'Données Contrats'!D178</f>
        <v>-0.0522</v>
      </c>
      <c r="E178" s="26" t="n">
        <f aca="false">'Données Contrats'!E178</f>
        <v>-0.0522</v>
      </c>
      <c r="F178" s="5" t="str">
        <f aca="false">'Données Contrats'!F178</f>
        <v>Critique</v>
      </c>
      <c r="G178" s="27" t="n">
        <f aca="false">IF(F178="OK","-",'Données Contrats'!B178)</f>
        <v>1</v>
      </c>
    </row>
    <row r="179" customFormat="false" ht="15" hidden="false" customHeight="true" outlineLevel="0" collapsed="false">
      <c r="A179" s="5" t="str">
        <f aca="false">'Données Contrats'!A179</f>
        <v>CTR-10175</v>
      </c>
      <c r="B179" s="7" t="n">
        <f aca="false">'Données Contrats'!B179</f>
        <v>0.9187</v>
      </c>
      <c r="C179" s="7" t="n">
        <f aca="false">'Données Contrats'!C179</f>
        <v>0.9187</v>
      </c>
      <c r="D179" s="25" t="n">
        <f aca="false">'Données Contrats'!D179</f>
        <v>0</v>
      </c>
      <c r="E179" s="26" t="n">
        <f aca="false">'Données Contrats'!E179</f>
        <v>0</v>
      </c>
      <c r="F179" s="5" t="str">
        <f aca="false">'Données Contrats'!F179</f>
        <v>OK</v>
      </c>
      <c r="G179" s="27" t="str">
        <f aca="false">IF(F179="OK","-",'Données Contrats'!B179)</f>
        <v>-</v>
      </c>
    </row>
    <row r="180" customFormat="false" ht="15" hidden="false" customHeight="true" outlineLevel="0" collapsed="false">
      <c r="A180" s="5" t="str">
        <f aca="false">'Données Contrats'!A180</f>
        <v>CTR-10176</v>
      </c>
      <c r="B180" s="7" t="n">
        <f aca="false">'Données Contrats'!B180</f>
        <v>1</v>
      </c>
      <c r="C180" s="7" t="n">
        <f aca="false">'Données Contrats'!C180</f>
        <v>1</v>
      </c>
      <c r="D180" s="25" t="n">
        <f aca="false">'Données Contrats'!D180</f>
        <v>0</v>
      </c>
      <c r="E180" s="26" t="n">
        <f aca="false">'Données Contrats'!E180</f>
        <v>0</v>
      </c>
      <c r="F180" s="5" t="str">
        <f aca="false">'Données Contrats'!F180</f>
        <v>OK</v>
      </c>
      <c r="G180" s="27" t="str">
        <f aca="false">IF(F180="OK","-",'Données Contrats'!B180)</f>
        <v>-</v>
      </c>
    </row>
    <row r="181" customFormat="false" ht="15" hidden="false" customHeight="true" outlineLevel="0" collapsed="false">
      <c r="A181" s="5" t="str">
        <f aca="false">'Données Contrats'!A181</f>
        <v>CTR-10177</v>
      </c>
      <c r="B181" s="7" t="n">
        <f aca="false">'Données Contrats'!B181</f>
        <v>0.9531</v>
      </c>
      <c r="C181" s="7" t="n">
        <f aca="false">'Données Contrats'!C181</f>
        <v>0.9531</v>
      </c>
      <c r="D181" s="25" t="n">
        <f aca="false">'Données Contrats'!D181</f>
        <v>0</v>
      </c>
      <c r="E181" s="26" t="n">
        <f aca="false">'Données Contrats'!E181</f>
        <v>0</v>
      </c>
      <c r="F181" s="5" t="str">
        <f aca="false">'Données Contrats'!F181</f>
        <v>OK</v>
      </c>
      <c r="G181" s="27" t="str">
        <f aca="false">IF(F181="OK","-",'Données Contrats'!B181)</f>
        <v>-</v>
      </c>
    </row>
    <row r="182" customFormat="false" ht="15" hidden="false" customHeight="true" outlineLevel="0" collapsed="false">
      <c r="A182" s="5" t="str">
        <f aca="false">'Données Contrats'!A182</f>
        <v>CTR-10178</v>
      </c>
      <c r="B182" s="7" t="n">
        <f aca="false">'Données Contrats'!B182</f>
        <v>1.0853</v>
      </c>
      <c r="C182" s="7" t="n">
        <f aca="false">'Données Contrats'!C182</f>
        <v>1.0853</v>
      </c>
      <c r="D182" s="25" t="n">
        <f aca="false">'Données Contrats'!D182</f>
        <v>0</v>
      </c>
      <c r="E182" s="26" t="n">
        <f aca="false">'Données Contrats'!E182</f>
        <v>0</v>
      </c>
      <c r="F182" s="5" t="str">
        <f aca="false">'Données Contrats'!F182</f>
        <v>OK</v>
      </c>
      <c r="G182" s="27" t="str">
        <f aca="false">IF(F182="OK","-",'Données Contrats'!B182)</f>
        <v>-</v>
      </c>
    </row>
    <row r="183" customFormat="false" ht="15" hidden="false" customHeight="true" outlineLevel="0" collapsed="false">
      <c r="A183" s="5" t="str">
        <f aca="false">'Données Contrats'!A183</f>
        <v>CTR-10179</v>
      </c>
      <c r="B183" s="7" t="n">
        <f aca="false">'Données Contrats'!B183</f>
        <v>0.908</v>
      </c>
      <c r="C183" s="7" t="n">
        <f aca="false">'Données Contrats'!C183</f>
        <v>0.908</v>
      </c>
      <c r="D183" s="25" t="n">
        <f aca="false">'Données Contrats'!D183</f>
        <v>0</v>
      </c>
      <c r="E183" s="26" t="n">
        <f aca="false">'Données Contrats'!E183</f>
        <v>0</v>
      </c>
      <c r="F183" s="5" t="str">
        <f aca="false">'Données Contrats'!F183</f>
        <v>OK</v>
      </c>
      <c r="G183" s="27" t="str">
        <f aca="false">IF(F183="OK","-",'Données Contrats'!B183)</f>
        <v>-</v>
      </c>
    </row>
    <row r="184" customFormat="false" ht="15" hidden="false" customHeight="true" outlineLevel="0" collapsed="false">
      <c r="A184" s="5" t="str">
        <f aca="false">'Données Contrats'!A184</f>
        <v>CTR-10180</v>
      </c>
      <c r="B184" s="7" t="n">
        <f aca="false">'Données Contrats'!B184</f>
        <v>1</v>
      </c>
      <c r="C184" s="7" t="n">
        <f aca="false">'Données Contrats'!C184</f>
        <v>1</v>
      </c>
      <c r="D184" s="25" t="n">
        <f aca="false">'Données Contrats'!D184</f>
        <v>0</v>
      </c>
      <c r="E184" s="26" t="n">
        <f aca="false">'Données Contrats'!E184</f>
        <v>0</v>
      </c>
      <c r="F184" s="5" t="str">
        <f aca="false">'Données Contrats'!F184</f>
        <v>OK</v>
      </c>
      <c r="G184" s="27" t="str">
        <f aca="false">IF(F184="OK","-",'Données Contrats'!B184)</f>
        <v>-</v>
      </c>
    </row>
    <row r="185" customFormat="false" ht="15" hidden="false" customHeight="true" outlineLevel="0" collapsed="false">
      <c r="A185" s="5" t="str">
        <f aca="false">'Données Contrats'!A185</f>
        <v>CTR-10181</v>
      </c>
      <c r="B185" s="7" t="n">
        <f aca="false">'Données Contrats'!B185</f>
        <v>1.1101</v>
      </c>
      <c r="C185" s="7" t="n">
        <f aca="false">'Données Contrats'!C185</f>
        <v>1.1101</v>
      </c>
      <c r="D185" s="25" t="n">
        <f aca="false">'Données Contrats'!D185</f>
        <v>0</v>
      </c>
      <c r="E185" s="26" t="n">
        <f aca="false">'Données Contrats'!E185</f>
        <v>0</v>
      </c>
      <c r="F185" s="5" t="str">
        <f aca="false">'Données Contrats'!F185</f>
        <v>OK</v>
      </c>
      <c r="G185" s="27" t="str">
        <f aca="false">IF(F185="OK","-",'Données Contrats'!B185)</f>
        <v>-</v>
      </c>
    </row>
    <row r="186" customFormat="false" ht="15" hidden="false" customHeight="true" outlineLevel="0" collapsed="false">
      <c r="A186" s="5" t="str">
        <f aca="false">'Données Contrats'!A186</f>
        <v>CTR-10182</v>
      </c>
      <c r="B186" s="7" t="n">
        <f aca="false">'Données Contrats'!B186</f>
        <v>1.1077</v>
      </c>
      <c r="C186" s="7" t="n">
        <f aca="false">'Données Contrats'!C186</f>
        <v>1.1077</v>
      </c>
      <c r="D186" s="25" t="n">
        <f aca="false">'Données Contrats'!D186</f>
        <v>0</v>
      </c>
      <c r="E186" s="26" t="n">
        <f aca="false">'Données Contrats'!E186</f>
        <v>0</v>
      </c>
      <c r="F186" s="5" t="str">
        <f aca="false">'Données Contrats'!F186</f>
        <v>OK</v>
      </c>
      <c r="G186" s="27" t="str">
        <f aca="false">IF(F186="OK","-",'Données Contrats'!B186)</f>
        <v>-</v>
      </c>
    </row>
    <row r="187" customFormat="false" ht="15" hidden="false" customHeight="true" outlineLevel="0" collapsed="false">
      <c r="A187" s="5" t="str">
        <f aca="false">'Données Contrats'!A187</f>
        <v>CTR-10183</v>
      </c>
      <c r="B187" s="7" t="n">
        <f aca="false">'Données Contrats'!B187</f>
        <v>1</v>
      </c>
      <c r="C187" s="7" t="n">
        <f aca="false">'Données Contrats'!C187</f>
        <v>1</v>
      </c>
      <c r="D187" s="25" t="n">
        <f aca="false">'Données Contrats'!D187</f>
        <v>0</v>
      </c>
      <c r="E187" s="26" t="n">
        <f aca="false">'Données Contrats'!E187</f>
        <v>0</v>
      </c>
      <c r="F187" s="5" t="str">
        <f aca="false">'Données Contrats'!F187</f>
        <v>OK</v>
      </c>
      <c r="G187" s="27" t="str">
        <f aca="false">IF(F187="OK","-",'Données Contrats'!B187)</f>
        <v>-</v>
      </c>
    </row>
    <row r="188" customFormat="false" ht="15" hidden="false" customHeight="true" outlineLevel="0" collapsed="false">
      <c r="A188" s="5" t="str">
        <f aca="false">'Données Contrats'!A188</f>
        <v>CTR-10184</v>
      </c>
      <c r="B188" s="7" t="n">
        <f aca="false">'Données Contrats'!B188</f>
        <v>1</v>
      </c>
      <c r="C188" s="7" t="n">
        <f aca="false">'Données Contrats'!C188</f>
        <v>1.0382</v>
      </c>
      <c r="D188" s="25" t="n">
        <f aca="false">'Données Contrats'!D188</f>
        <v>0.0382</v>
      </c>
      <c r="E188" s="26" t="n">
        <f aca="false">'Données Contrats'!E188</f>
        <v>0.0382</v>
      </c>
      <c r="F188" s="5" t="str">
        <f aca="false">'Données Contrats'!F188</f>
        <v>Critique</v>
      </c>
      <c r="G188" s="27" t="n">
        <f aca="false">IF(F188="OK","-",'Données Contrats'!B188)</f>
        <v>1</v>
      </c>
    </row>
    <row r="189" customFormat="false" ht="15" hidden="false" customHeight="true" outlineLevel="0" collapsed="false">
      <c r="A189" s="5" t="str">
        <f aca="false">'Données Contrats'!A189</f>
        <v>CTR-10185</v>
      </c>
      <c r="B189" s="7" t="n">
        <f aca="false">'Données Contrats'!B189</f>
        <v>0.9555</v>
      </c>
      <c r="C189" s="7" t="n">
        <f aca="false">'Données Contrats'!C189</f>
        <v>0.9555</v>
      </c>
      <c r="D189" s="25" t="n">
        <f aca="false">'Données Contrats'!D189</f>
        <v>0</v>
      </c>
      <c r="E189" s="26" t="n">
        <f aca="false">'Données Contrats'!E189</f>
        <v>0</v>
      </c>
      <c r="F189" s="5" t="str">
        <f aca="false">'Données Contrats'!F189</f>
        <v>OK</v>
      </c>
      <c r="G189" s="27" t="str">
        <f aca="false">IF(F189="OK","-",'Données Contrats'!B189)</f>
        <v>-</v>
      </c>
    </row>
    <row r="190" customFormat="false" ht="15" hidden="false" customHeight="true" outlineLevel="0" collapsed="false">
      <c r="A190" s="5" t="str">
        <f aca="false">'Données Contrats'!A190</f>
        <v>CTR-10186</v>
      </c>
      <c r="B190" s="7" t="n">
        <f aca="false">'Données Contrats'!B190</f>
        <v>1</v>
      </c>
      <c r="C190" s="7" t="n">
        <f aca="false">'Données Contrats'!C190</f>
        <v>1</v>
      </c>
      <c r="D190" s="25" t="n">
        <f aca="false">'Données Contrats'!D190</f>
        <v>0</v>
      </c>
      <c r="E190" s="26" t="n">
        <f aca="false">'Données Contrats'!E190</f>
        <v>0</v>
      </c>
      <c r="F190" s="5" t="str">
        <f aca="false">'Données Contrats'!F190</f>
        <v>OK</v>
      </c>
      <c r="G190" s="27" t="str">
        <f aca="false">IF(F190="OK","-",'Données Contrats'!B190)</f>
        <v>-</v>
      </c>
    </row>
    <row r="191" customFormat="false" ht="15" hidden="false" customHeight="true" outlineLevel="0" collapsed="false">
      <c r="A191" s="5" t="str">
        <f aca="false">'Données Contrats'!A191</f>
        <v>CTR-10187</v>
      </c>
      <c r="B191" s="7" t="n">
        <f aca="false">'Données Contrats'!B191</f>
        <v>0.9425</v>
      </c>
      <c r="C191" s="7" t="n">
        <f aca="false">'Données Contrats'!C191</f>
        <v>0.9425</v>
      </c>
      <c r="D191" s="25" t="n">
        <f aca="false">'Données Contrats'!D191</f>
        <v>0</v>
      </c>
      <c r="E191" s="26" t="n">
        <f aca="false">'Données Contrats'!E191</f>
        <v>0</v>
      </c>
      <c r="F191" s="5" t="str">
        <f aca="false">'Données Contrats'!F191</f>
        <v>OK</v>
      </c>
      <c r="G191" s="27" t="str">
        <f aca="false">IF(F191="OK","-",'Données Contrats'!B191)</f>
        <v>-</v>
      </c>
    </row>
    <row r="192" customFormat="false" ht="15" hidden="false" customHeight="true" outlineLevel="0" collapsed="false">
      <c r="A192" s="5" t="str">
        <f aca="false">'Données Contrats'!A192</f>
        <v>CTR-10188</v>
      </c>
      <c r="B192" s="7" t="n">
        <f aca="false">'Données Contrats'!B192</f>
        <v>1.1332</v>
      </c>
      <c r="C192" s="7" t="n">
        <f aca="false">'Données Contrats'!C192</f>
        <v>1.1332</v>
      </c>
      <c r="D192" s="25" t="n">
        <f aca="false">'Données Contrats'!D192</f>
        <v>0</v>
      </c>
      <c r="E192" s="26" t="n">
        <f aca="false">'Données Contrats'!E192</f>
        <v>0</v>
      </c>
      <c r="F192" s="5" t="str">
        <f aca="false">'Données Contrats'!F192</f>
        <v>OK</v>
      </c>
      <c r="G192" s="27" t="str">
        <f aca="false">IF(F192="OK","-",'Données Contrats'!B192)</f>
        <v>-</v>
      </c>
    </row>
    <row r="193" customFormat="false" ht="15" hidden="false" customHeight="true" outlineLevel="0" collapsed="false">
      <c r="A193" s="5" t="str">
        <f aca="false">'Données Contrats'!A193</f>
        <v>CTR-10189</v>
      </c>
      <c r="B193" s="7" t="n">
        <f aca="false">'Données Contrats'!B193</f>
        <v>0.9398</v>
      </c>
      <c r="C193" s="7" t="n">
        <f aca="false">'Données Contrats'!C193</f>
        <v>0.9398</v>
      </c>
      <c r="D193" s="25" t="n">
        <f aca="false">'Données Contrats'!D193</f>
        <v>0</v>
      </c>
      <c r="E193" s="26" t="n">
        <f aca="false">'Données Contrats'!E193</f>
        <v>0</v>
      </c>
      <c r="F193" s="5" t="str">
        <f aca="false">'Données Contrats'!F193</f>
        <v>OK</v>
      </c>
      <c r="G193" s="27" t="str">
        <f aca="false">IF(F193="OK","-",'Données Contrats'!B193)</f>
        <v>-</v>
      </c>
    </row>
    <row r="194" customFormat="false" ht="15" hidden="false" customHeight="true" outlineLevel="0" collapsed="false">
      <c r="A194" s="5" t="str">
        <f aca="false">'Données Contrats'!A194</f>
        <v>CTR-10190</v>
      </c>
      <c r="B194" s="7" t="n">
        <f aca="false">'Données Contrats'!B194</f>
        <v>0.9203</v>
      </c>
      <c r="C194" s="7" t="n">
        <f aca="false">'Données Contrats'!C194</f>
        <v>0.8889</v>
      </c>
      <c r="D194" s="25" t="n">
        <f aca="false">'Données Contrats'!D194</f>
        <v>-0.0314</v>
      </c>
      <c r="E194" s="26" t="n">
        <f aca="false">'Données Contrats'!E194</f>
        <v>-0.034119308921004</v>
      </c>
      <c r="F194" s="5" t="str">
        <f aca="false">'Données Contrats'!F194</f>
        <v>Critique</v>
      </c>
      <c r="G194" s="27" t="n">
        <f aca="false">IF(F194="OK","-",'Données Contrats'!B194)</f>
        <v>0.9203</v>
      </c>
    </row>
    <row r="195" customFormat="false" ht="15" hidden="false" customHeight="true" outlineLevel="0" collapsed="false">
      <c r="A195" s="5" t="str">
        <f aca="false">'Données Contrats'!A195</f>
        <v>CTR-10191</v>
      </c>
      <c r="B195" s="7" t="n">
        <f aca="false">'Données Contrats'!B195</f>
        <v>1.0649</v>
      </c>
      <c r="C195" s="7" t="n">
        <f aca="false">'Données Contrats'!C195</f>
        <v>1.0649</v>
      </c>
      <c r="D195" s="25" t="n">
        <f aca="false">'Données Contrats'!D195</f>
        <v>0</v>
      </c>
      <c r="E195" s="26" t="n">
        <f aca="false">'Données Contrats'!E195</f>
        <v>0</v>
      </c>
      <c r="F195" s="5" t="str">
        <f aca="false">'Données Contrats'!F195</f>
        <v>OK</v>
      </c>
      <c r="G195" s="27" t="str">
        <f aca="false">IF(F195="OK","-",'Données Contrats'!B195)</f>
        <v>-</v>
      </c>
    </row>
    <row r="196" customFormat="false" ht="15" hidden="false" customHeight="true" outlineLevel="0" collapsed="false">
      <c r="A196" s="5" t="str">
        <f aca="false">'Données Contrats'!A196</f>
        <v>CTR-10192</v>
      </c>
      <c r="B196" s="7" t="n">
        <f aca="false">'Données Contrats'!B196</f>
        <v>1</v>
      </c>
      <c r="C196" s="7" t="n">
        <f aca="false">'Données Contrats'!C196</f>
        <v>1.0254</v>
      </c>
      <c r="D196" s="25" t="n">
        <f aca="false">'Données Contrats'!D196</f>
        <v>0.0254000000000001</v>
      </c>
      <c r="E196" s="26" t="n">
        <f aca="false">'Données Contrats'!E196</f>
        <v>0.0254000000000001</v>
      </c>
      <c r="F196" s="5" t="str">
        <f aca="false">'Données Contrats'!F196</f>
        <v>Critique</v>
      </c>
      <c r="G196" s="27" t="n">
        <f aca="false">IF(F196="OK","-",'Données Contrats'!B196)</f>
        <v>1</v>
      </c>
    </row>
    <row r="197" customFormat="false" ht="15" hidden="false" customHeight="true" outlineLevel="0" collapsed="false">
      <c r="A197" s="5" t="str">
        <f aca="false">'Données Contrats'!A197</f>
        <v>CTR-10193</v>
      </c>
      <c r="B197" s="7" t="n">
        <f aca="false">'Données Contrats'!B197</f>
        <v>1</v>
      </c>
      <c r="C197" s="7" t="n">
        <f aca="false">'Données Contrats'!C197</f>
        <v>1</v>
      </c>
      <c r="D197" s="25" t="n">
        <f aca="false">'Données Contrats'!D197</f>
        <v>0</v>
      </c>
      <c r="E197" s="26" t="n">
        <f aca="false">'Données Contrats'!E197</f>
        <v>0</v>
      </c>
      <c r="F197" s="5" t="str">
        <f aca="false">'Données Contrats'!F197</f>
        <v>OK</v>
      </c>
      <c r="G197" s="27" t="str">
        <f aca="false">IF(F197="OK","-",'Données Contrats'!B197)</f>
        <v>-</v>
      </c>
    </row>
    <row r="198" customFormat="false" ht="15" hidden="false" customHeight="true" outlineLevel="0" collapsed="false">
      <c r="A198" s="5" t="str">
        <f aca="false">'Données Contrats'!A198</f>
        <v>CTR-10194</v>
      </c>
      <c r="B198" s="7" t="n">
        <f aca="false">'Données Contrats'!B198</f>
        <v>1.1325</v>
      </c>
      <c r="C198" s="7" t="n">
        <f aca="false">'Données Contrats'!C198</f>
        <v>1.1325</v>
      </c>
      <c r="D198" s="25" t="n">
        <f aca="false">'Données Contrats'!D198</f>
        <v>0</v>
      </c>
      <c r="E198" s="26" t="n">
        <f aca="false">'Données Contrats'!E198</f>
        <v>0</v>
      </c>
      <c r="F198" s="5" t="str">
        <f aca="false">'Données Contrats'!F198</f>
        <v>OK</v>
      </c>
      <c r="G198" s="27" t="str">
        <f aca="false">IF(F198="OK","-",'Données Contrats'!B198)</f>
        <v>-</v>
      </c>
    </row>
    <row r="199" customFormat="false" ht="15" hidden="false" customHeight="true" outlineLevel="0" collapsed="false">
      <c r="A199" s="5" t="str">
        <f aca="false">'Données Contrats'!A199</f>
        <v>CTR-10195</v>
      </c>
      <c r="B199" s="7" t="n">
        <f aca="false">'Données Contrats'!B199</f>
        <v>1</v>
      </c>
      <c r="C199" s="7" t="n">
        <f aca="false">'Données Contrats'!C199</f>
        <v>1</v>
      </c>
      <c r="D199" s="25" t="n">
        <f aca="false">'Données Contrats'!D199</f>
        <v>0</v>
      </c>
      <c r="E199" s="26" t="n">
        <f aca="false">'Données Contrats'!E199</f>
        <v>0</v>
      </c>
      <c r="F199" s="5" t="str">
        <f aca="false">'Données Contrats'!F199</f>
        <v>OK</v>
      </c>
      <c r="G199" s="27" t="str">
        <f aca="false">IF(F199="OK","-",'Données Contrats'!B199)</f>
        <v>-</v>
      </c>
    </row>
    <row r="200" customFormat="false" ht="15" hidden="false" customHeight="true" outlineLevel="0" collapsed="false">
      <c r="A200" s="5" t="str">
        <f aca="false">'Données Contrats'!A200</f>
        <v>CTR-10196</v>
      </c>
      <c r="B200" s="7" t="n">
        <f aca="false">'Données Contrats'!B200</f>
        <v>1.0526</v>
      </c>
      <c r="C200" s="7" t="n">
        <f aca="false">'Données Contrats'!C200</f>
        <v>1.0298</v>
      </c>
      <c r="D200" s="25" t="n">
        <f aca="false">'Données Contrats'!D200</f>
        <v>-0.0227999999999999</v>
      </c>
      <c r="E200" s="26" t="n">
        <f aca="false">'Données Contrats'!E200</f>
        <v>-0.0216606498194945</v>
      </c>
      <c r="F200" s="5" t="str">
        <f aca="false">'Données Contrats'!F200</f>
        <v>Critique</v>
      </c>
      <c r="G200" s="27" t="n">
        <f aca="false">IF(F200="OK","-",'Données Contrats'!B200)</f>
        <v>1.0526</v>
      </c>
    </row>
    <row r="201" customFormat="false" ht="15" hidden="false" customHeight="true" outlineLevel="0" collapsed="false">
      <c r="A201" s="5" t="str">
        <f aca="false">'Données Contrats'!A201</f>
        <v>CTR-10197</v>
      </c>
      <c r="B201" s="7" t="n">
        <f aca="false">'Données Contrats'!B201</f>
        <v>1.0773</v>
      </c>
      <c r="C201" s="7" t="n">
        <f aca="false">'Données Contrats'!C201</f>
        <v>1.0773</v>
      </c>
      <c r="D201" s="25" t="n">
        <f aca="false">'Données Contrats'!D201</f>
        <v>0</v>
      </c>
      <c r="E201" s="26" t="n">
        <f aca="false">'Données Contrats'!E201</f>
        <v>0</v>
      </c>
      <c r="F201" s="5" t="str">
        <f aca="false">'Données Contrats'!F201</f>
        <v>OK</v>
      </c>
      <c r="G201" s="27" t="str">
        <f aca="false">IF(F201="OK","-",'Données Contrats'!B201)</f>
        <v>-</v>
      </c>
    </row>
    <row r="202" customFormat="false" ht="15" hidden="false" customHeight="true" outlineLevel="0" collapsed="false">
      <c r="A202" s="5" t="str">
        <f aca="false">'Données Contrats'!A202</f>
        <v>CTR-10198</v>
      </c>
      <c r="B202" s="7" t="n">
        <f aca="false">'Données Contrats'!B202</f>
        <v>1</v>
      </c>
      <c r="C202" s="7" t="n">
        <f aca="false">'Données Contrats'!C202</f>
        <v>1</v>
      </c>
      <c r="D202" s="25" t="n">
        <f aca="false">'Données Contrats'!D202</f>
        <v>0</v>
      </c>
      <c r="E202" s="26" t="n">
        <f aca="false">'Données Contrats'!E202</f>
        <v>0</v>
      </c>
      <c r="F202" s="5" t="str">
        <f aca="false">'Données Contrats'!F202</f>
        <v>OK</v>
      </c>
      <c r="G202" s="27" t="str">
        <f aca="false">IF(F202="OK","-",'Données Contrats'!B202)</f>
        <v>-</v>
      </c>
    </row>
    <row r="203" customFormat="false" ht="15" hidden="false" customHeight="true" outlineLevel="0" collapsed="false">
      <c r="A203" s="5" t="str">
        <f aca="false">'Données Contrats'!A203</f>
        <v>CTR-10199</v>
      </c>
      <c r="B203" s="7" t="n">
        <f aca="false">'Données Contrats'!B203</f>
        <v>1.0372</v>
      </c>
      <c r="C203" s="7" t="n">
        <f aca="false">'Données Contrats'!C203</f>
        <v>1.0673</v>
      </c>
      <c r="D203" s="25" t="n">
        <f aca="false">'Données Contrats'!D203</f>
        <v>0.0301</v>
      </c>
      <c r="E203" s="26" t="n">
        <f aca="false">'Données Contrats'!E203</f>
        <v>0.0290204396451986</v>
      </c>
      <c r="F203" s="5" t="str">
        <f aca="false">'Données Contrats'!F203</f>
        <v>Critique</v>
      </c>
      <c r="G203" s="27" t="n">
        <f aca="false">IF(F203="OK","-",'Données Contrats'!B203)</f>
        <v>1.0372</v>
      </c>
    </row>
    <row r="204" customFormat="false" ht="15" hidden="false" customHeight="true" outlineLevel="0" collapsed="false">
      <c r="A204" s="5" t="str">
        <f aca="false">'Données Contrats'!A204</f>
        <v>CTR-10200</v>
      </c>
      <c r="B204" s="7" t="n">
        <f aca="false">'Données Contrats'!B204</f>
        <v>1</v>
      </c>
      <c r="C204" s="7" t="n">
        <f aca="false">'Données Contrats'!C204</f>
        <v>1.0608</v>
      </c>
      <c r="D204" s="25" t="n">
        <f aca="false">'Données Contrats'!D204</f>
        <v>0.0608</v>
      </c>
      <c r="E204" s="26" t="n">
        <f aca="false">'Données Contrats'!E204</f>
        <v>0.0608</v>
      </c>
      <c r="F204" s="5" t="str">
        <f aca="false">'Données Contrats'!F204</f>
        <v>Critique</v>
      </c>
      <c r="G204" s="27" t="n">
        <f aca="false">IF(F204="OK","-",'Données Contrats'!B204)</f>
        <v>1</v>
      </c>
    </row>
    <row r="205" customFormat="false" ht="15" hidden="false" customHeight="true" outlineLevel="0" collapsed="false">
      <c r="A205" s="5" t="str">
        <f aca="false">'Données Contrats'!A205</f>
        <v>CTR-10201</v>
      </c>
      <c r="B205" s="7" t="n">
        <f aca="false">'Données Contrats'!B205</f>
        <v>0.977</v>
      </c>
      <c r="C205" s="7" t="n">
        <f aca="false">'Données Contrats'!C205</f>
        <v>0.977</v>
      </c>
      <c r="D205" s="25" t="n">
        <f aca="false">'Données Contrats'!D205</f>
        <v>0</v>
      </c>
      <c r="E205" s="26" t="n">
        <f aca="false">'Données Contrats'!E205</f>
        <v>0</v>
      </c>
      <c r="F205" s="5" t="str">
        <f aca="false">'Données Contrats'!F205</f>
        <v>OK</v>
      </c>
      <c r="G205" s="27" t="str">
        <f aca="false">IF(F205="OK","-",'Données Contrats'!B205)</f>
        <v>-</v>
      </c>
    </row>
    <row r="206" customFormat="false" ht="15" hidden="false" customHeight="true" outlineLevel="0" collapsed="false">
      <c r="A206" s="5" t="str">
        <f aca="false">'Données Contrats'!A206</f>
        <v>CTR-10202</v>
      </c>
      <c r="B206" s="7" t="n">
        <f aca="false">'Données Contrats'!B206</f>
        <v>1</v>
      </c>
      <c r="C206" s="7" t="n">
        <f aca="false">'Données Contrats'!C206</f>
        <v>1</v>
      </c>
      <c r="D206" s="25" t="n">
        <f aca="false">'Données Contrats'!D206</f>
        <v>0</v>
      </c>
      <c r="E206" s="26" t="n">
        <f aca="false">'Données Contrats'!E206</f>
        <v>0</v>
      </c>
      <c r="F206" s="5" t="str">
        <f aca="false">'Données Contrats'!F206</f>
        <v>OK</v>
      </c>
      <c r="G206" s="27" t="str">
        <f aca="false">IF(F206="OK","-",'Données Contrats'!B206)</f>
        <v>-</v>
      </c>
    </row>
    <row r="207" customFormat="false" ht="15" hidden="false" customHeight="true" outlineLevel="0" collapsed="false">
      <c r="A207" s="5" t="str">
        <f aca="false">'Données Contrats'!A207</f>
        <v>CTR-10203</v>
      </c>
      <c r="B207" s="7" t="n">
        <f aca="false">'Données Contrats'!B207</f>
        <v>1.1075</v>
      </c>
      <c r="C207" s="7" t="n">
        <f aca="false">'Données Contrats'!C207</f>
        <v>1.1075</v>
      </c>
      <c r="D207" s="25" t="n">
        <f aca="false">'Données Contrats'!D207</f>
        <v>0</v>
      </c>
      <c r="E207" s="26" t="n">
        <f aca="false">'Données Contrats'!E207</f>
        <v>0</v>
      </c>
      <c r="F207" s="5" t="str">
        <f aca="false">'Données Contrats'!F207</f>
        <v>OK</v>
      </c>
      <c r="G207" s="27" t="str">
        <f aca="false">IF(F207="OK","-",'Données Contrats'!B207)</f>
        <v>-</v>
      </c>
    </row>
    <row r="208" customFormat="false" ht="15" hidden="false" customHeight="true" outlineLevel="0" collapsed="false">
      <c r="A208" s="5" t="str">
        <f aca="false">'Données Contrats'!A208</f>
        <v>CTR-10204</v>
      </c>
      <c r="B208" s="7" t="n">
        <f aca="false">'Données Contrats'!B208</f>
        <v>1</v>
      </c>
      <c r="C208" s="7" t="n">
        <f aca="false">'Données Contrats'!C208</f>
        <v>1</v>
      </c>
      <c r="D208" s="25" t="n">
        <f aca="false">'Données Contrats'!D208</f>
        <v>0</v>
      </c>
      <c r="E208" s="26" t="n">
        <f aca="false">'Données Contrats'!E208</f>
        <v>0</v>
      </c>
      <c r="F208" s="5" t="str">
        <f aca="false">'Données Contrats'!F208</f>
        <v>OK</v>
      </c>
      <c r="G208" s="27" t="str">
        <f aca="false">IF(F208="OK","-",'Données Contrats'!B208)</f>
        <v>-</v>
      </c>
    </row>
    <row r="209" customFormat="false" ht="15" hidden="false" customHeight="true" outlineLevel="0" collapsed="false">
      <c r="A209" s="5" t="str">
        <f aca="false">'Données Contrats'!A209</f>
        <v>CTR-10205</v>
      </c>
      <c r="B209" s="7" t="n">
        <f aca="false">'Données Contrats'!B209</f>
        <v>1.0233</v>
      </c>
      <c r="C209" s="7" t="n">
        <f aca="false">'Données Contrats'!C209</f>
        <v>1.0233</v>
      </c>
      <c r="D209" s="25" t="n">
        <f aca="false">'Données Contrats'!D209</f>
        <v>0</v>
      </c>
      <c r="E209" s="26" t="n">
        <f aca="false">'Données Contrats'!E209</f>
        <v>0</v>
      </c>
      <c r="F209" s="5" t="str">
        <f aca="false">'Données Contrats'!F209</f>
        <v>OK</v>
      </c>
      <c r="G209" s="27" t="str">
        <f aca="false">IF(F209="OK","-",'Données Contrats'!B209)</f>
        <v>-</v>
      </c>
    </row>
    <row r="210" customFormat="false" ht="15" hidden="false" customHeight="true" outlineLevel="0" collapsed="false">
      <c r="A210" s="5" t="str">
        <f aca="false">'Données Contrats'!A210</f>
        <v>CTR-10206</v>
      </c>
      <c r="B210" s="7" t="n">
        <f aca="false">'Données Contrats'!B210</f>
        <v>1.1042</v>
      </c>
      <c r="C210" s="7" t="n">
        <f aca="false">'Données Contrats'!C210</f>
        <v>1.1263</v>
      </c>
      <c r="D210" s="25" t="n">
        <f aca="false">'Données Contrats'!D210</f>
        <v>0.0221</v>
      </c>
      <c r="E210" s="26" t="n">
        <f aca="false">'Données Contrats'!E210</f>
        <v>0.0200144901285999</v>
      </c>
      <c r="F210" s="5" t="str">
        <f aca="false">'Données Contrats'!F210</f>
        <v>Critique</v>
      </c>
      <c r="G210" s="27" t="n">
        <f aca="false">IF(F210="OK","-",'Données Contrats'!B210)</f>
        <v>1.1042</v>
      </c>
    </row>
    <row r="211" customFormat="false" ht="15" hidden="false" customHeight="true" outlineLevel="0" collapsed="false">
      <c r="A211" s="5" t="str">
        <f aca="false">'Données Contrats'!A211</f>
        <v>CTR-10207</v>
      </c>
      <c r="B211" s="7" t="n">
        <f aca="false">'Données Contrats'!B211</f>
        <v>1</v>
      </c>
      <c r="C211" s="7" t="n">
        <f aca="false">'Données Contrats'!C211</f>
        <v>1</v>
      </c>
      <c r="D211" s="25" t="n">
        <f aca="false">'Données Contrats'!D211</f>
        <v>0</v>
      </c>
      <c r="E211" s="26" t="n">
        <f aca="false">'Données Contrats'!E211</f>
        <v>0</v>
      </c>
      <c r="F211" s="5" t="str">
        <f aca="false">'Données Contrats'!F211</f>
        <v>OK</v>
      </c>
      <c r="G211" s="27" t="str">
        <f aca="false">IF(F211="OK","-",'Données Contrats'!B211)</f>
        <v>-</v>
      </c>
    </row>
    <row r="212" customFormat="false" ht="15" hidden="false" customHeight="true" outlineLevel="0" collapsed="false">
      <c r="A212" s="5" t="str">
        <f aca="false">'Données Contrats'!A212</f>
        <v>CTR-10208</v>
      </c>
      <c r="B212" s="7" t="n">
        <f aca="false">'Données Contrats'!B212</f>
        <v>1</v>
      </c>
      <c r="C212" s="7" t="n">
        <f aca="false">'Données Contrats'!C212</f>
        <v>1</v>
      </c>
      <c r="D212" s="25" t="n">
        <f aca="false">'Données Contrats'!D212</f>
        <v>0</v>
      </c>
      <c r="E212" s="26" t="n">
        <f aca="false">'Données Contrats'!E212</f>
        <v>0</v>
      </c>
      <c r="F212" s="5" t="str">
        <f aca="false">'Données Contrats'!F212</f>
        <v>OK</v>
      </c>
      <c r="G212" s="27" t="str">
        <f aca="false">IF(F212="OK","-",'Données Contrats'!B212)</f>
        <v>-</v>
      </c>
    </row>
    <row r="213" customFormat="false" ht="15" hidden="false" customHeight="true" outlineLevel="0" collapsed="false">
      <c r="A213" s="5" t="str">
        <f aca="false">'Données Contrats'!A213</f>
        <v>CTR-10209</v>
      </c>
      <c r="B213" s="7" t="n">
        <f aca="false">'Données Contrats'!B213</f>
        <v>1.1166</v>
      </c>
      <c r="C213" s="7" t="n">
        <f aca="false">'Données Contrats'!C213</f>
        <v>1.1166</v>
      </c>
      <c r="D213" s="25" t="n">
        <f aca="false">'Données Contrats'!D213</f>
        <v>0</v>
      </c>
      <c r="E213" s="26" t="n">
        <f aca="false">'Données Contrats'!E213</f>
        <v>0</v>
      </c>
      <c r="F213" s="5" t="str">
        <f aca="false">'Données Contrats'!F213</f>
        <v>OK</v>
      </c>
      <c r="G213" s="27" t="str">
        <f aca="false">IF(F213="OK","-",'Données Contrats'!B213)</f>
        <v>-</v>
      </c>
    </row>
    <row r="214" customFormat="false" ht="15" hidden="false" customHeight="true" outlineLevel="0" collapsed="false">
      <c r="A214" s="5" t="str">
        <f aca="false">'Données Contrats'!A214</f>
        <v>CTR-10210</v>
      </c>
      <c r="B214" s="7" t="n">
        <f aca="false">'Données Contrats'!B214</f>
        <v>1</v>
      </c>
      <c r="C214" s="7" t="n">
        <f aca="false">'Données Contrats'!C214</f>
        <v>1</v>
      </c>
      <c r="D214" s="25" t="n">
        <f aca="false">'Données Contrats'!D214</f>
        <v>0</v>
      </c>
      <c r="E214" s="26" t="n">
        <f aca="false">'Données Contrats'!E214</f>
        <v>0</v>
      </c>
      <c r="F214" s="5" t="str">
        <f aca="false">'Données Contrats'!F214</f>
        <v>OK</v>
      </c>
      <c r="G214" s="27" t="str">
        <f aca="false">IF(F214="OK","-",'Données Contrats'!B214)</f>
        <v>-</v>
      </c>
    </row>
    <row r="215" customFormat="false" ht="15" hidden="false" customHeight="true" outlineLevel="0" collapsed="false">
      <c r="A215" s="5" t="str">
        <f aca="false">'Données Contrats'!A215</f>
        <v>CTR-10211</v>
      </c>
      <c r="B215" s="7" t="n">
        <f aca="false">'Données Contrats'!B215</f>
        <v>1</v>
      </c>
      <c r="C215" s="7" t="n">
        <f aca="false">'Données Contrats'!C215</f>
        <v>1</v>
      </c>
      <c r="D215" s="25" t="n">
        <f aca="false">'Données Contrats'!D215</f>
        <v>0</v>
      </c>
      <c r="E215" s="26" t="n">
        <f aca="false">'Données Contrats'!E215</f>
        <v>0</v>
      </c>
      <c r="F215" s="5" t="str">
        <f aca="false">'Données Contrats'!F215</f>
        <v>OK</v>
      </c>
      <c r="G215" s="27" t="str">
        <f aca="false">IF(F215="OK","-",'Données Contrats'!B215)</f>
        <v>-</v>
      </c>
    </row>
    <row r="216" customFormat="false" ht="15" hidden="false" customHeight="true" outlineLevel="0" collapsed="false">
      <c r="A216" s="5" t="str">
        <f aca="false">'Données Contrats'!A216</f>
        <v>CTR-10212</v>
      </c>
      <c r="B216" s="7" t="n">
        <f aca="false">'Données Contrats'!B216</f>
        <v>0.9296</v>
      </c>
      <c r="C216" s="7" t="n">
        <f aca="false">'Données Contrats'!C216</f>
        <v>0.9296</v>
      </c>
      <c r="D216" s="25" t="n">
        <f aca="false">'Données Contrats'!D216</f>
        <v>0</v>
      </c>
      <c r="E216" s="26" t="n">
        <f aca="false">'Données Contrats'!E216</f>
        <v>0</v>
      </c>
      <c r="F216" s="5" t="str">
        <f aca="false">'Données Contrats'!F216</f>
        <v>OK</v>
      </c>
      <c r="G216" s="27" t="str">
        <f aca="false">IF(F216="OK","-",'Données Contrats'!B216)</f>
        <v>-</v>
      </c>
    </row>
    <row r="217" customFormat="false" ht="15" hidden="false" customHeight="true" outlineLevel="0" collapsed="false">
      <c r="A217" s="5" t="str">
        <f aca="false">'Données Contrats'!A217</f>
        <v>CTR-10213</v>
      </c>
      <c r="B217" s="7" t="n">
        <f aca="false">'Données Contrats'!B217</f>
        <v>0.9048</v>
      </c>
      <c r="C217" s="7" t="n">
        <f aca="false">'Données Contrats'!C217</f>
        <v>0.8878</v>
      </c>
      <c r="D217" s="25" t="n">
        <f aca="false">'Données Contrats'!D217</f>
        <v>-0.017</v>
      </c>
      <c r="E217" s="26" t="n">
        <f aca="false">'Données Contrats'!E217</f>
        <v>-0.018788682581786</v>
      </c>
      <c r="F217" s="5" t="str">
        <f aca="false">'Données Contrats'!F217</f>
        <v>Mineur</v>
      </c>
      <c r="G217" s="27" t="n">
        <f aca="false">IF(F217="OK","-",'Données Contrats'!B217)</f>
        <v>0.9048</v>
      </c>
    </row>
    <row r="218" customFormat="false" ht="15" hidden="false" customHeight="true" outlineLevel="0" collapsed="false">
      <c r="A218" s="5" t="str">
        <f aca="false">'Données Contrats'!A218</f>
        <v>CTR-10214</v>
      </c>
      <c r="B218" s="7" t="n">
        <f aca="false">'Données Contrats'!B218</f>
        <v>0.904</v>
      </c>
      <c r="C218" s="7" t="n">
        <f aca="false">'Données Contrats'!C218</f>
        <v>0.9472</v>
      </c>
      <c r="D218" s="25" t="n">
        <f aca="false">'Données Contrats'!D218</f>
        <v>0.0432</v>
      </c>
      <c r="E218" s="26" t="n">
        <f aca="false">'Données Contrats'!E218</f>
        <v>0.047787610619469</v>
      </c>
      <c r="F218" s="5" t="str">
        <f aca="false">'Données Contrats'!F218</f>
        <v>Critique</v>
      </c>
      <c r="G218" s="27" t="n">
        <f aca="false">IF(F218="OK","-",'Données Contrats'!B218)</f>
        <v>0.904</v>
      </c>
    </row>
    <row r="219" customFormat="false" ht="15" hidden="false" customHeight="true" outlineLevel="0" collapsed="false">
      <c r="A219" s="5" t="str">
        <f aca="false">'Données Contrats'!A219</f>
        <v>CTR-10215</v>
      </c>
      <c r="B219" s="7" t="n">
        <f aca="false">'Données Contrats'!B219</f>
        <v>0.965</v>
      </c>
      <c r="C219" s="7" t="n">
        <f aca="false">'Données Contrats'!C219</f>
        <v>0.9861</v>
      </c>
      <c r="D219" s="25" t="n">
        <f aca="false">'Données Contrats'!D219</f>
        <v>0.0211</v>
      </c>
      <c r="E219" s="26" t="n">
        <f aca="false">'Données Contrats'!E219</f>
        <v>0.0218652849740933</v>
      </c>
      <c r="F219" s="5" t="str">
        <f aca="false">'Données Contrats'!F219</f>
        <v>Critique</v>
      </c>
      <c r="G219" s="27" t="n">
        <f aca="false">IF(F219="OK","-",'Données Contrats'!B219)</f>
        <v>0.965</v>
      </c>
    </row>
    <row r="220" customFormat="false" ht="15" hidden="false" customHeight="true" outlineLevel="0" collapsed="false">
      <c r="A220" s="5" t="str">
        <f aca="false">'Données Contrats'!A220</f>
        <v>CTR-10216</v>
      </c>
      <c r="B220" s="7" t="n">
        <f aca="false">'Données Contrats'!B220</f>
        <v>0.9432</v>
      </c>
      <c r="C220" s="7" t="n">
        <f aca="false">'Données Contrats'!C220</f>
        <v>0.9432</v>
      </c>
      <c r="D220" s="25" t="n">
        <f aca="false">'Données Contrats'!D220</f>
        <v>0</v>
      </c>
      <c r="E220" s="26" t="n">
        <f aca="false">'Données Contrats'!E220</f>
        <v>0</v>
      </c>
      <c r="F220" s="5" t="str">
        <f aca="false">'Données Contrats'!F220</f>
        <v>OK</v>
      </c>
      <c r="G220" s="27" t="str">
        <f aca="false">IF(F220="OK","-",'Données Contrats'!B220)</f>
        <v>-</v>
      </c>
    </row>
    <row r="221" customFormat="false" ht="15" hidden="false" customHeight="true" outlineLevel="0" collapsed="false">
      <c r="A221" s="5" t="str">
        <f aca="false">'Données Contrats'!A221</f>
        <v>CTR-10217</v>
      </c>
      <c r="B221" s="7" t="n">
        <f aca="false">'Données Contrats'!B221</f>
        <v>0.9021</v>
      </c>
      <c r="C221" s="7" t="n">
        <f aca="false">'Données Contrats'!C221</f>
        <v>0.9021</v>
      </c>
      <c r="D221" s="25" t="n">
        <f aca="false">'Données Contrats'!D221</f>
        <v>0</v>
      </c>
      <c r="E221" s="26" t="n">
        <f aca="false">'Données Contrats'!E221</f>
        <v>0</v>
      </c>
      <c r="F221" s="5" t="str">
        <f aca="false">'Données Contrats'!F221</f>
        <v>OK</v>
      </c>
      <c r="G221" s="27" t="str">
        <f aca="false">IF(F221="OK","-",'Données Contrats'!B221)</f>
        <v>-</v>
      </c>
    </row>
    <row r="222" customFormat="false" ht="15" hidden="false" customHeight="true" outlineLevel="0" collapsed="false">
      <c r="A222" s="5" t="str">
        <f aca="false">'Données Contrats'!A222</f>
        <v>CTR-10218</v>
      </c>
      <c r="B222" s="7" t="n">
        <f aca="false">'Données Contrats'!B222</f>
        <v>0.9013</v>
      </c>
      <c r="C222" s="7" t="n">
        <f aca="false">'Données Contrats'!C222</f>
        <v>0.9013</v>
      </c>
      <c r="D222" s="25" t="n">
        <f aca="false">'Données Contrats'!D222</f>
        <v>0</v>
      </c>
      <c r="E222" s="26" t="n">
        <f aca="false">'Données Contrats'!E222</f>
        <v>0</v>
      </c>
      <c r="F222" s="5" t="str">
        <f aca="false">'Données Contrats'!F222</f>
        <v>OK</v>
      </c>
      <c r="G222" s="27" t="str">
        <f aca="false">IF(F222="OK","-",'Données Contrats'!B222)</f>
        <v>-</v>
      </c>
    </row>
    <row r="223" customFormat="false" ht="15" hidden="false" customHeight="true" outlineLevel="0" collapsed="false">
      <c r="A223" s="5" t="str">
        <f aca="false">'Données Contrats'!A223</f>
        <v>CTR-10219</v>
      </c>
      <c r="B223" s="7" t="n">
        <f aca="false">'Données Contrats'!B223</f>
        <v>1</v>
      </c>
      <c r="C223" s="7" t="n">
        <f aca="false">'Données Contrats'!C223</f>
        <v>1</v>
      </c>
      <c r="D223" s="25" t="n">
        <f aca="false">'Données Contrats'!D223</f>
        <v>0</v>
      </c>
      <c r="E223" s="26" t="n">
        <f aca="false">'Données Contrats'!E223</f>
        <v>0</v>
      </c>
      <c r="F223" s="5" t="str">
        <f aca="false">'Données Contrats'!F223</f>
        <v>OK</v>
      </c>
      <c r="G223" s="27" t="str">
        <f aca="false">IF(F223="OK","-",'Données Contrats'!B223)</f>
        <v>-</v>
      </c>
    </row>
    <row r="224" customFormat="false" ht="15" hidden="false" customHeight="true" outlineLevel="0" collapsed="false">
      <c r="A224" s="5" t="str">
        <f aca="false">'Données Contrats'!A224</f>
        <v>CTR-10220</v>
      </c>
      <c r="B224" s="7" t="n">
        <f aca="false">'Données Contrats'!B224</f>
        <v>1</v>
      </c>
      <c r="C224" s="7" t="n">
        <f aca="false">'Données Contrats'!C224</f>
        <v>1</v>
      </c>
      <c r="D224" s="25" t="n">
        <f aca="false">'Données Contrats'!D224</f>
        <v>0</v>
      </c>
      <c r="E224" s="26" t="n">
        <f aca="false">'Données Contrats'!E224</f>
        <v>0</v>
      </c>
      <c r="F224" s="5" t="str">
        <f aca="false">'Données Contrats'!F224</f>
        <v>OK</v>
      </c>
      <c r="G224" s="27" t="str">
        <f aca="false">IF(F224="OK","-",'Données Contrats'!B224)</f>
        <v>-</v>
      </c>
    </row>
    <row r="225" customFormat="false" ht="15" hidden="false" customHeight="true" outlineLevel="0" collapsed="false">
      <c r="A225" s="5" t="str">
        <f aca="false">'Données Contrats'!A225</f>
        <v>CTR-10221</v>
      </c>
      <c r="B225" s="7" t="n">
        <f aca="false">'Données Contrats'!B225</f>
        <v>1.0256</v>
      </c>
      <c r="C225" s="7" t="n">
        <f aca="false">'Données Contrats'!C225</f>
        <v>1.0256</v>
      </c>
      <c r="D225" s="25" t="n">
        <f aca="false">'Données Contrats'!D225</f>
        <v>0</v>
      </c>
      <c r="E225" s="26" t="n">
        <f aca="false">'Données Contrats'!E225</f>
        <v>0</v>
      </c>
      <c r="F225" s="5" t="str">
        <f aca="false">'Données Contrats'!F225</f>
        <v>OK</v>
      </c>
      <c r="G225" s="27" t="str">
        <f aca="false">IF(F225="OK","-",'Données Contrats'!B225)</f>
        <v>-</v>
      </c>
    </row>
    <row r="226" customFormat="false" ht="15" hidden="false" customHeight="true" outlineLevel="0" collapsed="false">
      <c r="A226" s="5" t="str">
        <f aca="false">'Données Contrats'!A226</f>
        <v>CTR-10222</v>
      </c>
      <c r="B226" s="7" t="n">
        <f aca="false">'Données Contrats'!B226</f>
        <v>0.9366</v>
      </c>
      <c r="C226" s="7" t="n">
        <f aca="false">'Données Contrats'!C226</f>
        <v>0.8582</v>
      </c>
      <c r="D226" s="25" t="n">
        <f aca="false">'Données Contrats'!D226</f>
        <v>-0.0784</v>
      </c>
      <c r="E226" s="26" t="n">
        <f aca="false">'Données Contrats'!E226</f>
        <v>-0.0837070254110613</v>
      </c>
      <c r="F226" s="5" t="str">
        <f aca="false">'Données Contrats'!F226</f>
        <v>Critique</v>
      </c>
      <c r="G226" s="27" t="n">
        <f aca="false">IF(F226="OK","-",'Données Contrats'!B226)</f>
        <v>0.9366</v>
      </c>
    </row>
    <row r="227" customFormat="false" ht="15" hidden="false" customHeight="true" outlineLevel="0" collapsed="false">
      <c r="A227" s="5" t="str">
        <f aca="false">'Données Contrats'!A227</f>
        <v>CTR-10223</v>
      </c>
      <c r="B227" s="7" t="n">
        <f aca="false">'Données Contrats'!B227</f>
        <v>1.0305</v>
      </c>
      <c r="C227" s="7" t="n">
        <f aca="false">'Données Contrats'!C227</f>
        <v>1.0305</v>
      </c>
      <c r="D227" s="25" t="n">
        <f aca="false">'Données Contrats'!D227</f>
        <v>0</v>
      </c>
      <c r="E227" s="26" t="n">
        <f aca="false">'Données Contrats'!E227</f>
        <v>0</v>
      </c>
      <c r="F227" s="5" t="str">
        <f aca="false">'Données Contrats'!F227</f>
        <v>OK</v>
      </c>
      <c r="G227" s="27" t="str">
        <f aca="false">IF(F227="OK","-",'Données Contrats'!B227)</f>
        <v>-</v>
      </c>
    </row>
    <row r="228" customFormat="false" ht="15" hidden="false" customHeight="true" outlineLevel="0" collapsed="false">
      <c r="A228" s="5" t="str">
        <f aca="false">'Données Contrats'!A228</f>
        <v>CTR-10224</v>
      </c>
      <c r="B228" s="7" t="n">
        <f aca="false">'Données Contrats'!B228</f>
        <v>1.1012</v>
      </c>
      <c r="C228" s="7" t="n">
        <f aca="false">'Données Contrats'!C228</f>
        <v>1.1012</v>
      </c>
      <c r="D228" s="25" t="n">
        <f aca="false">'Données Contrats'!D228</f>
        <v>0</v>
      </c>
      <c r="E228" s="26" t="n">
        <f aca="false">'Données Contrats'!E228</f>
        <v>0</v>
      </c>
      <c r="F228" s="5" t="str">
        <f aca="false">'Données Contrats'!F228</f>
        <v>OK</v>
      </c>
      <c r="G228" s="27" t="str">
        <f aca="false">IF(F228="OK","-",'Données Contrats'!B228)</f>
        <v>-</v>
      </c>
    </row>
    <row r="229" customFormat="false" ht="15" hidden="false" customHeight="true" outlineLevel="0" collapsed="false">
      <c r="A229" s="5" t="str">
        <f aca="false">'Données Contrats'!A229</f>
        <v>CTR-10225</v>
      </c>
      <c r="B229" s="7" t="n">
        <f aca="false">'Données Contrats'!B229</f>
        <v>1.1493</v>
      </c>
      <c r="C229" s="7" t="n">
        <f aca="false">'Données Contrats'!C229</f>
        <v>1.1493</v>
      </c>
      <c r="D229" s="25" t="n">
        <f aca="false">'Données Contrats'!D229</f>
        <v>0</v>
      </c>
      <c r="E229" s="26" t="n">
        <f aca="false">'Données Contrats'!E229</f>
        <v>0</v>
      </c>
      <c r="F229" s="5" t="str">
        <f aca="false">'Données Contrats'!F229</f>
        <v>OK</v>
      </c>
      <c r="G229" s="27" t="str">
        <f aca="false">IF(F229="OK","-",'Données Contrats'!B229)</f>
        <v>-</v>
      </c>
    </row>
    <row r="230" customFormat="false" ht="15" hidden="false" customHeight="true" outlineLevel="0" collapsed="false">
      <c r="A230" s="5" t="str">
        <f aca="false">'Données Contrats'!A230</f>
        <v>CTR-10226</v>
      </c>
      <c r="B230" s="7" t="n">
        <f aca="false">'Données Contrats'!B230</f>
        <v>1.0759</v>
      </c>
      <c r="C230" s="7" t="n">
        <f aca="false">'Données Contrats'!C230</f>
        <v>1.0759</v>
      </c>
      <c r="D230" s="25" t="n">
        <f aca="false">'Données Contrats'!D230</f>
        <v>0</v>
      </c>
      <c r="E230" s="26" t="n">
        <f aca="false">'Données Contrats'!E230</f>
        <v>0</v>
      </c>
      <c r="F230" s="5" t="str">
        <f aca="false">'Données Contrats'!F230</f>
        <v>OK</v>
      </c>
      <c r="G230" s="27" t="str">
        <f aca="false">IF(F230="OK","-",'Données Contrats'!B230)</f>
        <v>-</v>
      </c>
    </row>
    <row r="231" customFormat="false" ht="15" hidden="false" customHeight="true" outlineLevel="0" collapsed="false">
      <c r="A231" s="5" t="str">
        <f aca="false">'Données Contrats'!A231</f>
        <v>CTR-10227</v>
      </c>
      <c r="B231" s="7" t="n">
        <f aca="false">'Données Contrats'!B231</f>
        <v>1.1341</v>
      </c>
      <c r="C231" s="7" t="n">
        <f aca="false">'Données Contrats'!C231</f>
        <v>1.1341</v>
      </c>
      <c r="D231" s="25" t="n">
        <f aca="false">'Données Contrats'!D231</f>
        <v>0</v>
      </c>
      <c r="E231" s="26" t="n">
        <f aca="false">'Données Contrats'!E231</f>
        <v>0</v>
      </c>
      <c r="F231" s="5" t="str">
        <f aca="false">'Données Contrats'!F231</f>
        <v>OK</v>
      </c>
      <c r="G231" s="27" t="str">
        <f aca="false">IF(F231="OK","-",'Données Contrats'!B231)</f>
        <v>-</v>
      </c>
    </row>
    <row r="232" customFormat="false" ht="15" hidden="false" customHeight="true" outlineLevel="0" collapsed="false">
      <c r="A232" s="5" t="str">
        <f aca="false">'Données Contrats'!A232</f>
        <v>CTR-10228</v>
      </c>
      <c r="B232" s="7" t="n">
        <f aca="false">'Données Contrats'!B232</f>
        <v>0.9172</v>
      </c>
      <c r="C232" s="7" t="n">
        <f aca="false">'Données Contrats'!C232</f>
        <v>0.9172</v>
      </c>
      <c r="D232" s="25" t="n">
        <f aca="false">'Données Contrats'!D232</f>
        <v>0</v>
      </c>
      <c r="E232" s="26" t="n">
        <f aca="false">'Données Contrats'!E232</f>
        <v>0</v>
      </c>
      <c r="F232" s="5" t="str">
        <f aca="false">'Données Contrats'!F232</f>
        <v>OK</v>
      </c>
      <c r="G232" s="27" t="str">
        <f aca="false">IF(F232="OK","-",'Données Contrats'!B232)</f>
        <v>-</v>
      </c>
    </row>
    <row r="233" customFormat="false" ht="15" hidden="false" customHeight="true" outlineLevel="0" collapsed="false">
      <c r="A233" s="5" t="str">
        <f aca="false">'Données Contrats'!A233</f>
        <v>CTR-10229</v>
      </c>
      <c r="B233" s="7" t="n">
        <f aca="false">'Données Contrats'!B233</f>
        <v>1.0718</v>
      </c>
      <c r="C233" s="7" t="n">
        <f aca="false">'Données Contrats'!C233</f>
        <v>1.0718</v>
      </c>
      <c r="D233" s="25" t="n">
        <f aca="false">'Données Contrats'!D233</f>
        <v>0</v>
      </c>
      <c r="E233" s="26" t="n">
        <f aca="false">'Données Contrats'!E233</f>
        <v>0</v>
      </c>
      <c r="F233" s="5" t="str">
        <f aca="false">'Données Contrats'!F233</f>
        <v>OK</v>
      </c>
      <c r="G233" s="27" t="str">
        <f aca="false">IF(F233="OK","-",'Données Contrats'!B233)</f>
        <v>-</v>
      </c>
    </row>
    <row r="234" customFormat="false" ht="15" hidden="false" customHeight="true" outlineLevel="0" collapsed="false">
      <c r="A234" s="5" t="str">
        <f aca="false">'Données Contrats'!A234</f>
        <v>CTR-10230</v>
      </c>
      <c r="B234" s="7" t="n">
        <f aca="false">'Données Contrats'!B234</f>
        <v>1</v>
      </c>
      <c r="C234" s="7" t="n">
        <f aca="false">'Données Contrats'!C234</f>
        <v>0.9775</v>
      </c>
      <c r="D234" s="25" t="n">
        <f aca="false">'Données Contrats'!D234</f>
        <v>-0.0225</v>
      </c>
      <c r="E234" s="26" t="n">
        <f aca="false">'Données Contrats'!E234</f>
        <v>-0.0225</v>
      </c>
      <c r="F234" s="5" t="str">
        <f aca="false">'Données Contrats'!F234</f>
        <v>Critique</v>
      </c>
      <c r="G234" s="27" t="n">
        <f aca="false">IF(F234="OK","-",'Données Contrats'!B234)</f>
        <v>1</v>
      </c>
    </row>
    <row r="235" customFormat="false" ht="15" hidden="false" customHeight="true" outlineLevel="0" collapsed="false">
      <c r="A235" s="5" t="str">
        <f aca="false">'Données Contrats'!A235</f>
        <v>CTR-10231</v>
      </c>
      <c r="B235" s="7" t="n">
        <f aca="false">'Données Contrats'!B235</f>
        <v>1.0326</v>
      </c>
      <c r="C235" s="7" t="n">
        <f aca="false">'Données Contrats'!C235</f>
        <v>1.0326</v>
      </c>
      <c r="D235" s="25" t="n">
        <f aca="false">'Données Contrats'!D235</f>
        <v>0</v>
      </c>
      <c r="E235" s="26" t="n">
        <f aca="false">'Données Contrats'!E235</f>
        <v>0</v>
      </c>
      <c r="F235" s="5" t="str">
        <f aca="false">'Données Contrats'!F235</f>
        <v>OK</v>
      </c>
      <c r="G235" s="27" t="str">
        <f aca="false">IF(F235="OK","-",'Données Contrats'!B235)</f>
        <v>-</v>
      </c>
    </row>
    <row r="236" customFormat="false" ht="15" hidden="false" customHeight="true" outlineLevel="0" collapsed="false">
      <c r="A236" s="5" t="str">
        <f aca="false">'Données Contrats'!A236</f>
        <v>CTR-10232</v>
      </c>
      <c r="B236" s="7" t="n">
        <f aca="false">'Données Contrats'!B236</f>
        <v>1.0278</v>
      </c>
      <c r="C236" s="7" t="n">
        <f aca="false">'Données Contrats'!C236</f>
        <v>1.0278</v>
      </c>
      <c r="D236" s="25" t="n">
        <f aca="false">'Données Contrats'!D236</f>
        <v>0</v>
      </c>
      <c r="E236" s="26" t="n">
        <f aca="false">'Données Contrats'!E236</f>
        <v>0</v>
      </c>
      <c r="F236" s="5" t="str">
        <f aca="false">'Données Contrats'!F236</f>
        <v>OK</v>
      </c>
      <c r="G236" s="27" t="str">
        <f aca="false">IF(F236="OK","-",'Données Contrats'!B236)</f>
        <v>-</v>
      </c>
    </row>
    <row r="237" customFormat="false" ht="15" hidden="false" customHeight="true" outlineLevel="0" collapsed="false">
      <c r="A237" s="5" t="str">
        <f aca="false">'Données Contrats'!A237</f>
        <v>CTR-10233</v>
      </c>
      <c r="B237" s="7" t="n">
        <f aca="false">'Données Contrats'!B237</f>
        <v>1.0734</v>
      </c>
      <c r="C237" s="7" t="n">
        <f aca="false">'Données Contrats'!C237</f>
        <v>1.0734</v>
      </c>
      <c r="D237" s="25" t="n">
        <f aca="false">'Données Contrats'!D237</f>
        <v>0</v>
      </c>
      <c r="E237" s="26" t="n">
        <f aca="false">'Données Contrats'!E237</f>
        <v>0</v>
      </c>
      <c r="F237" s="5" t="str">
        <f aca="false">'Données Contrats'!F237</f>
        <v>OK</v>
      </c>
      <c r="G237" s="27" t="str">
        <f aca="false">IF(F237="OK","-",'Données Contrats'!B237)</f>
        <v>-</v>
      </c>
    </row>
    <row r="238" customFormat="false" ht="15" hidden="false" customHeight="true" outlineLevel="0" collapsed="false">
      <c r="A238" s="5" t="str">
        <f aca="false">'Données Contrats'!A238</f>
        <v>CTR-10234</v>
      </c>
      <c r="B238" s="7" t="n">
        <f aca="false">'Données Contrats'!B238</f>
        <v>1.0657</v>
      </c>
      <c r="C238" s="7" t="n">
        <f aca="false">'Données Contrats'!C238</f>
        <v>1.0657</v>
      </c>
      <c r="D238" s="25" t="n">
        <f aca="false">'Données Contrats'!D238</f>
        <v>0</v>
      </c>
      <c r="E238" s="26" t="n">
        <f aca="false">'Données Contrats'!E238</f>
        <v>0</v>
      </c>
      <c r="F238" s="5" t="str">
        <f aca="false">'Données Contrats'!F238</f>
        <v>OK</v>
      </c>
      <c r="G238" s="27" t="str">
        <f aca="false">IF(F238="OK","-",'Données Contrats'!B238)</f>
        <v>-</v>
      </c>
    </row>
    <row r="239" customFormat="false" ht="15" hidden="false" customHeight="true" outlineLevel="0" collapsed="false">
      <c r="A239" s="5" t="str">
        <f aca="false">'Données Contrats'!A239</f>
        <v>CTR-10235</v>
      </c>
      <c r="B239" s="7" t="n">
        <f aca="false">'Données Contrats'!B239</f>
        <v>0.9124</v>
      </c>
      <c r="C239" s="7" t="n">
        <f aca="false">'Données Contrats'!C239</f>
        <v>0.9124</v>
      </c>
      <c r="D239" s="25" t="n">
        <f aca="false">'Données Contrats'!D239</f>
        <v>0</v>
      </c>
      <c r="E239" s="26" t="n">
        <f aca="false">'Données Contrats'!E239</f>
        <v>0</v>
      </c>
      <c r="F239" s="5" t="str">
        <f aca="false">'Données Contrats'!F239</f>
        <v>OK</v>
      </c>
      <c r="G239" s="27" t="str">
        <f aca="false">IF(F239="OK","-",'Données Contrats'!B239)</f>
        <v>-</v>
      </c>
    </row>
    <row r="240" customFormat="false" ht="15" hidden="false" customHeight="true" outlineLevel="0" collapsed="false">
      <c r="A240" s="5" t="str">
        <f aca="false">'Données Contrats'!A240</f>
        <v>CTR-10236</v>
      </c>
      <c r="B240" s="7" t="n">
        <f aca="false">'Données Contrats'!B240</f>
        <v>1</v>
      </c>
      <c r="C240" s="7" t="n">
        <f aca="false">'Données Contrats'!C240</f>
        <v>1</v>
      </c>
      <c r="D240" s="25" t="n">
        <f aca="false">'Données Contrats'!D240</f>
        <v>0</v>
      </c>
      <c r="E240" s="26" t="n">
        <f aca="false">'Données Contrats'!E240</f>
        <v>0</v>
      </c>
      <c r="F240" s="5" t="str">
        <f aca="false">'Données Contrats'!F240</f>
        <v>OK</v>
      </c>
      <c r="G240" s="27" t="str">
        <f aca="false">IF(F240="OK","-",'Données Contrats'!B240)</f>
        <v>-</v>
      </c>
    </row>
    <row r="241" customFormat="false" ht="15" hidden="false" customHeight="true" outlineLevel="0" collapsed="false">
      <c r="A241" s="5" t="str">
        <f aca="false">'Données Contrats'!A241</f>
        <v>CTR-10237</v>
      </c>
      <c r="B241" s="7" t="n">
        <f aca="false">'Données Contrats'!B241</f>
        <v>1.1299</v>
      </c>
      <c r="C241" s="7" t="n">
        <f aca="false">'Données Contrats'!C241</f>
        <v>1.1299</v>
      </c>
      <c r="D241" s="25" t="n">
        <f aca="false">'Données Contrats'!D241</f>
        <v>0</v>
      </c>
      <c r="E241" s="26" t="n">
        <f aca="false">'Données Contrats'!E241</f>
        <v>0</v>
      </c>
      <c r="F241" s="5" t="str">
        <f aca="false">'Données Contrats'!F241</f>
        <v>OK</v>
      </c>
      <c r="G241" s="27" t="str">
        <f aca="false">IF(F241="OK","-",'Données Contrats'!B241)</f>
        <v>-</v>
      </c>
    </row>
    <row r="242" customFormat="false" ht="15" hidden="false" customHeight="true" outlineLevel="0" collapsed="false">
      <c r="A242" s="5" t="str">
        <f aca="false">'Données Contrats'!A242</f>
        <v>CTR-10238</v>
      </c>
      <c r="B242" s="7" t="n">
        <f aca="false">'Données Contrats'!B242</f>
        <v>1.0234</v>
      </c>
      <c r="C242" s="7" t="n">
        <f aca="false">'Données Contrats'!C242</f>
        <v>1.0234</v>
      </c>
      <c r="D242" s="25" t="n">
        <f aca="false">'Données Contrats'!D242</f>
        <v>0</v>
      </c>
      <c r="E242" s="26" t="n">
        <f aca="false">'Données Contrats'!E242</f>
        <v>0</v>
      </c>
      <c r="F242" s="5" t="str">
        <f aca="false">'Données Contrats'!F242</f>
        <v>OK</v>
      </c>
      <c r="G242" s="27" t="str">
        <f aca="false">IF(F242="OK","-",'Données Contrats'!B242)</f>
        <v>-</v>
      </c>
    </row>
    <row r="243" customFormat="false" ht="15" hidden="false" customHeight="true" outlineLevel="0" collapsed="false">
      <c r="A243" s="5" t="str">
        <f aca="false">'Données Contrats'!A243</f>
        <v>CTR-10239</v>
      </c>
      <c r="B243" s="7" t="n">
        <f aca="false">'Données Contrats'!B243</f>
        <v>0.9737</v>
      </c>
      <c r="C243" s="7" t="n">
        <f aca="false">'Données Contrats'!C243</f>
        <v>0.9464</v>
      </c>
      <c r="D243" s="25" t="n">
        <f aca="false">'Données Contrats'!D243</f>
        <v>-0.0273</v>
      </c>
      <c r="E243" s="26" t="n">
        <f aca="false">'Données Contrats'!E243</f>
        <v>-0.0280373831775701</v>
      </c>
      <c r="F243" s="5" t="str">
        <f aca="false">'Données Contrats'!F243</f>
        <v>Critique</v>
      </c>
      <c r="G243" s="27" t="n">
        <f aca="false">IF(F243="OK","-",'Données Contrats'!B243)</f>
        <v>0.9737</v>
      </c>
    </row>
    <row r="244" customFormat="false" ht="15" hidden="false" customHeight="true" outlineLevel="0" collapsed="false">
      <c r="A244" s="5" t="str">
        <f aca="false">'Données Contrats'!A244</f>
        <v>CTR-10240</v>
      </c>
      <c r="B244" s="7" t="n">
        <f aca="false">'Données Contrats'!B244</f>
        <v>1</v>
      </c>
      <c r="C244" s="7" t="n">
        <f aca="false">'Données Contrats'!C244</f>
        <v>1</v>
      </c>
      <c r="D244" s="25" t="n">
        <f aca="false">'Données Contrats'!D244</f>
        <v>0</v>
      </c>
      <c r="E244" s="26" t="n">
        <f aca="false">'Données Contrats'!E244</f>
        <v>0</v>
      </c>
      <c r="F244" s="5" t="str">
        <f aca="false">'Données Contrats'!F244</f>
        <v>OK</v>
      </c>
      <c r="G244" s="27" t="str">
        <f aca="false">IF(F244="OK","-",'Données Contrats'!B244)</f>
        <v>-</v>
      </c>
    </row>
    <row r="245" customFormat="false" ht="15" hidden="false" customHeight="true" outlineLevel="0" collapsed="false">
      <c r="A245" s="5" t="str">
        <f aca="false">'Données Contrats'!A245</f>
        <v>CTR-10241</v>
      </c>
      <c r="B245" s="7" t="n">
        <f aca="false">'Données Contrats'!B245</f>
        <v>1.0681</v>
      </c>
      <c r="C245" s="7" t="n">
        <f aca="false">'Données Contrats'!C245</f>
        <v>1.0681</v>
      </c>
      <c r="D245" s="25" t="n">
        <f aca="false">'Données Contrats'!D245</f>
        <v>0</v>
      </c>
      <c r="E245" s="26" t="n">
        <f aca="false">'Données Contrats'!E245</f>
        <v>0</v>
      </c>
      <c r="F245" s="5" t="str">
        <f aca="false">'Données Contrats'!F245</f>
        <v>OK</v>
      </c>
      <c r="G245" s="27" t="str">
        <f aca="false">IF(F245="OK","-",'Données Contrats'!B245)</f>
        <v>-</v>
      </c>
    </row>
    <row r="246" customFormat="false" ht="15" hidden="false" customHeight="true" outlineLevel="0" collapsed="false">
      <c r="A246" s="5" t="str">
        <f aca="false">'Données Contrats'!A246</f>
        <v>CTR-10242</v>
      </c>
      <c r="B246" s="7" t="n">
        <f aca="false">'Données Contrats'!B246</f>
        <v>0.9753</v>
      </c>
      <c r="C246" s="7" t="n">
        <f aca="false">'Données Contrats'!C246</f>
        <v>0.9753</v>
      </c>
      <c r="D246" s="25" t="n">
        <f aca="false">'Données Contrats'!D246</f>
        <v>0</v>
      </c>
      <c r="E246" s="26" t="n">
        <f aca="false">'Données Contrats'!E246</f>
        <v>0</v>
      </c>
      <c r="F246" s="5" t="str">
        <f aca="false">'Données Contrats'!F246</f>
        <v>OK</v>
      </c>
      <c r="G246" s="27" t="str">
        <f aca="false">IF(F246="OK","-",'Données Contrats'!B246)</f>
        <v>-</v>
      </c>
    </row>
    <row r="247" customFormat="false" ht="15" hidden="false" customHeight="true" outlineLevel="0" collapsed="false">
      <c r="A247" s="5" t="str">
        <f aca="false">'Données Contrats'!A247</f>
        <v>CTR-10243</v>
      </c>
      <c r="B247" s="7" t="n">
        <f aca="false">'Données Contrats'!B247</f>
        <v>0.9604</v>
      </c>
      <c r="C247" s="7" t="n">
        <f aca="false">'Données Contrats'!C247</f>
        <v>0.9604</v>
      </c>
      <c r="D247" s="25" t="n">
        <f aca="false">'Données Contrats'!D247</f>
        <v>0</v>
      </c>
      <c r="E247" s="26" t="n">
        <f aca="false">'Données Contrats'!E247</f>
        <v>0</v>
      </c>
      <c r="F247" s="5" t="str">
        <f aca="false">'Données Contrats'!F247</f>
        <v>OK</v>
      </c>
      <c r="G247" s="27" t="str">
        <f aca="false">IF(F247="OK","-",'Données Contrats'!B247)</f>
        <v>-</v>
      </c>
    </row>
    <row r="248" customFormat="false" ht="15" hidden="false" customHeight="true" outlineLevel="0" collapsed="false">
      <c r="A248" s="5" t="str">
        <f aca="false">'Données Contrats'!A248</f>
        <v>CTR-10244</v>
      </c>
      <c r="B248" s="7" t="n">
        <f aca="false">'Données Contrats'!B248</f>
        <v>1</v>
      </c>
      <c r="C248" s="7" t="n">
        <f aca="false">'Données Contrats'!C248</f>
        <v>1</v>
      </c>
      <c r="D248" s="25" t="n">
        <f aca="false">'Données Contrats'!D248</f>
        <v>0</v>
      </c>
      <c r="E248" s="26" t="n">
        <f aca="false">'Données Contrats'!E248</f>
        <v>0</v>
      </c>
      <c r="F248" s="5" t="str">
        <f aca="false">'Données Contrats'!F248</f>
        <v>OK</v>
      </c>
      <c r="G248" s="27" t="str">
        <f aca="false">IF(F248="OK","-",'Données Contrats'!B248)</f>
        <v>-</v>
      </c>
    </row>
    <row r="249" customFormat="false" ht="15" hidden="false" customHeight="true" outlineLevel="0" collapsed="false">
      <c r="A249" s="5" t="str">
        <f aca="false">'Données Contrats'!A249</f>
        <v>CTR-10245</v>
      </c>
      <c r="B249" s="7" t="n">
        <f aca="false">'Données Contrats'!B249</f>
        <v>1</v>
      </c>
      <c r="C249" s="7" t="n">
        <f aca="false">'Données Contrats'!C249</f>
        <v>1</v>
      </c>
      <c r="D249" s="25" t="n">
        <f aca="false">'Données Contrats'!D249</f>
        <v>0</v>
      </c>
      <c r="E249" s="26" t="n">
        <f aca="false">'Données Contrats'!E249</f>
        <v>0</v>
      </c>
      <c r="F249" s="5" t="str">
        <f aca="false">'Données Contrats'!F249</f>
        <v>OK</v>
      </c>
      <c r="G249" s="27" t="str">
        <f aca="false">IF(F249="OK","-",'Données Contrats'!B249)</f>
        <v>-</v>
      </c>
    </row>
    <row r="250" customFormat="false" ht="15" hidden="false" customHeight="true" outlineLevel="0" collapsed="false">
      <c r="A250" s="5" t="str">
        <f aca="false">'Données Contrats'!A250</f>
        <v>CTR-10246</v>
      </c>
      <c r="B250" s="7" t="n">
        <f aca="false">'Données Contrats'!B250</f>
        <v>1</v>
      </c>
      <c r="C250" s="7" t="n">
        <f aca="false">'Données Contrats'!C250</f>
        <v>1</v>
      </c>
      <c r="D250" s="25" t="n">
        <f aca="false">'Données Contrats'!D250</f>
        <v>0</v>
      </c>
      <c r="E250" s="26" t="n">
        <f aca="false">'Données Contrats'!E250</f>
        <v>0</v>
      </c>
      <c r="F250" s="5" t="str">
        <f aca="false">'Données Contrats'!F250</f>
        <v>OK</v>
      </c>
      <c r="G250" s="27" t="str">
        <f aca="false">IF(F250="OK","-",'Données Contrats'!B250)</f>
        <v>-</v>
      </c>
    </row>
    <row r="251" customFormat="false" ht="15" hidden="false" customHeight="true" outlineLevel="0" collapsed="false">
      <c r="A251" s="5" t="str">
        <f aca="false">'Données Contrats'!A251</f>
        <v>CTR-10247</v>
      </c>
      <c r="B251" s="7" t="n">
        <f aca="false">'Données Contrats'!B251</f>
        <v>1.0487</v>
      </c>
      <c r="C251" s="7" t="n">
        <f aca="false">'Données Contrats'!C251</f>
        <v>1.0487</v>
      </c>
      <c r="D251" s="25" t="n">
        <f aca="false">'Données Contrats'!D251</f>
        <v>0</v>
      </c>
      <c r="E251" s="26" t="n">
        <f aca="false">'Données Contrats'!E251</f>
        <v>0</v>
      </c>
      <c r="F251" s="5" t="str">
        <f aca="false">'Données Contrats'!F251</f>
        <v>OK</v>
      </c>
      <c r="G251" s="27" t="str">
        <f aca="false">IF(F251="OK","-",'Données Contrats'!B251)</f>
        <v>-</v>
      </c>
    </row>
    <row r="252" customFormat="false" ht="15" hidden="false" customHeight="true" outlineLevel="0" collapsed="false">
      <c r="A252" s="5" t="str">
        <f aca="false">'Données Contrats'!A252</f>
        <v>CTR-10248</v>
      </c>
      <c r="B252" s="7" t="n">
        <f aca="false">'Données Contrats'!B252</f>
        <v>0.9164</v>
      </c>
      <c r="C252" s="7" t="n">
        <f aca="false">'Données Contrats'!C252</f>
        <v>0.9159</v>
      </c>
      <c r="D252" s="25" t="n">
        <f aca="false">'Données Contrats'!D252</f>
        <v>-0.000499999999999945</v>
      </c>
      <c r="E252" s="26" t="n">
        <f aca="false">'Données Contrats'!E252</f>
        <v>-0.00054561326931465</v>
      </c>
      <c r="F252" s="5" t="str">
        <f aca="false">'Données Contrats'!F252</f>
        <v>Mineur</v>
      </c>
      <c r="G252" s="27" t="n">
        <f aca="false">IF(F252="OK","-",'Données Contrats'!B252)</f>
        <v>0.9164</v>
      </c>
    </row>
    <row r="253" customFormat="false" ht="15" hidden="false" customHeight="true" outlineLevel="0" collapsed="false">
      <c r="A253" s="5" t="str">
        <f aca="false">'Données Contrats'!A253</f>
        <v>CTR-10249</v>
      </c>
      <c r="B253" s="7" t="n">
        <f aca="false">'Données Contrats'!B253</f>
        <v>1.0694</v>
      </c>
      <c r="C253" s="7" t="n">
        <f aca="false">'Données Contrats'!C253</f>
        <v>1.0694</v>
      </c>
      <c r="D253" s="25" t="n">
        <f aca="false">'Données Contrats'!D253</f>
        <v>0</v>
      </c>
      <c r="E253" s="26" t="n">
        <f aca="false">'Données Contrats'!E253</f>
        <v>0</v>
      </c>
      <c r="F253" s="5" t="str">
        <f aca="false">'Données Contrats'!F253</f>
        <v>OK</v>
      </c>
      <c r="G253" s="27" t="str">
        <f aca="false">IF(F253="OK","-",'Données Contrats'!B253)</f>
        <v>-</v>
      </c>
    </row>
    <row r="254" customFormat="false" ht="15" hidden="false" customHeight="true" outlineLevel="0" collapsed="false">
      <c r="A254" s="5" t="str">
        <f aca="false">'Données Contrats'!A254</f>
        <v>CTR-10250</v>
      </c>
      <c r="B254" s="7" t="n">
        <f aca="false">'Données Contrats'!B254</f>
        <v>1</v>
      </c>
      <c r="C254" s="7" t="n">
        <f aca="false">'Données Contrats'!C254</f>
        <v>1</v>
      </c>
      <c r="D254" s="25" t="n">
        <f aca="false">'Données Contrats'!D254</f>
        <v>0</v>
      </c>
      <c r="E254" s="26" t="n">
        <f aca="false">'Données Contrats'!E254</f>
        <v>0</v>
      </c>
      <c r="F254" s="5" t="str">
        <f aca="false">'Données Contrats'!F254</f>
        <v>OK</v>
      </c>
      <c r="G254" s="27" t="str">
        <f aca="false">IF(F254="OK","-",'Données Contrats'!B254)</f>
        <v>-</v>
      </c>
    </row>
    <row r="255" customFormat="false" ht="15" hidden="false" customHeight="true" outlineLevel="0" collapsed="false">
      <c r="A255" s="5" t="str">
        <f aca="false">'Données Contrats'!A255</f>
        <v>CTR-10251</v>
      </c>
      <c r="B255" s="7" t="n">
        <f aca="false">'Données Contrats'!B255</f>
        <v>0.9689</v>
      </c>
      <c r="C255" s="7" t="n">
        <f aca="false">'Données Contrats'!C255</f>
        <v>0.9689</v>
      </c>
      <c r="D255" s="25" t="n">
        <f aca="false">'Données Contrats'!D255</f>
        <v>0</v>
      </c>
      <c r="E255" s="26" t="n">
        <f aca="false">'Données Contrats'!E255</f>
        <v>0</v>
      </c>
      <c r="F255" s="5" t="str">
        <f aca="false">'Données Contrats'!F255</f>
        <v>OK</v>
      </c>
      <c r="G255" s="27" t="str">
        <f aca="false">IF(F255="OK","-",'Données Contrats'!B255)</f>
        <v>-</v>
      </c>
    </row>
    <row r="256" customFormat="false" ht="15" hidden="false" customHeight="true" outlineLevel="0" collapsed="false">
      <c r="A256" s="5" t="str">
        <f aca="false">'Données Contrats'!A256</f>
        <v>CTR-10252</v>
      </c>
      <c r="B256" s="7" t="n">
        <f aca="false">'Données Contrats'!B256</f>
        <v>1</v>
      </c>
      <c r="C256" s="7" t="n">
        <f aca="false">'Données Contrats'!C256</f>
        <v>1</v>
      </c>
      <c r="D256" s="25" t="n">
        <f aca="false">'Données Contrats'!D256</f>
        <v>0</v>
      </c>
      <c r="E256" s="26" t="n">
        <f aca="false">'Données Contrats'!E256</f>
        <v>0</v>
      </c>
      <c r="F256" s="5" t="str">
        <f aca="false">'Données Contrats'!F256</f>
        <v>OK</v>
      </c>
      <c r="G256" s="27" t="str">
        <f aca="false">IF(F256="OK","-",'Données Contrats'!B256)</f>
        <v>-</v>
      </c>
    </row>
    <row r="257" customFormat="false" ht="15" hidden="false" customHeight="true" outlineLevel="0" collapsed="false">
      <c r="A257" s="5" t="str">
        <f aca="false">'Données Contrats'!A257</f>
        <v>CTR-10253</v>
      </c>
      <c r="B257" s="7" t="n">
        <f aca="false">'Données Contrats'!B257</f>
        <v>0.9568</v>
      </c>
      <c r="C257" s="7" t="n">
        <f aca="false">'Données Contrats'!C257</f>
        <v>0.9568</v>
      </c>
      <c r="D257" s="25" t="n">
        <f aca="false">'Données Contrats'!D257</f>
        <v>0</v>
      </c>
      <c r="E257" s="26" t="n">
        <f aca="false">'Données Contrats'!E257</f>
        <v>0</v>
      </c>
      <c r="F257" s="5" t="str">
        <f aca="false">'Données Contrats'!F257</f>
        <v>OK</v>
      </c>
      <c r="G257" s="27" t="str">
        <f aca="false">IF(F257="OK","-",'Données Contrats'!B257)</f>
        <v>-</v>
      </c>
    </row>
    <row r="258" customFormat="false" ht="15" hidden="false" customHeight="true" outlineLevel="0" collapsed="false">
      <c r="A258" s="5" t="str">
        <f aca="false">'Données Contrats'!A258</f>
        <v>CTR-10254</v>
      </c>
      <c r="B258" s="7" t="n">
        <f aca="false">'Données Contrats'!B258</f>
        <v>1.0423</v>
      </c>
      <c r="C258" s="7" t="n">
        <f aca="false">'Données Contrats'!C258</f>
        <v>1.0423</v>
      </c>
      <c r="D258" s="25" t="n">
        <f aca="false">'Données Contrats'!D258</f>
        <v>0</v>
      </c>
      <c r="E258" s="26" t="n">
        <f aca="false">'Données Contrats'!E258</f>
        <v>0</v>
      </c>
      <c r="F258" s="5" t="str">
        <f aca="false">'Données Contrats'!F258</f>
        <v>OK</v>
      </c>
      <c r="G258" s="27" t="str">
        <f aca="false">IF(F258="OK","-",'Données Contrats'!B258)</f>
        <v>-</v>
      </c>
    </row>
    <row r="259" customFormat="false" ht="15" hidden="false" customHeight="true" outlineLevel="0" collapsed="false">
      <c r="A259" s="5" t="str">
        <f aca="false">'Données Contrats'!A259</f>
        <v>CTR-10255</v>
      </c>
      <c r="B259" s="7" t="n">
        <f aca="false">'Données Contrats'!B259</f>
        <v>1</v>
      </c>
      <c r="C259" s="7" t="n">
        <f aca="false">'Données Contrats'!C259</f>
        <v>1.0048</v>
      </c>
      <c r="D259" s="25" t="n">
        <f aca="false">'Données Contrats'!D259</f>
        <v>0.00479999999999992</v>
      </c>
      <c r="E259" s="26" t="n">
        <f aca="false">'Données Contrats'!E259</f>
        <v>0.00479999999999992</v>
      </c>
      <c r="F259" s="5" t="str">
        <f aca="false">'Données Contrats'!F259</f>
        <v>Mineur</v>
      </c>
      <c r="G259" s="27" t="n">
        <f aca="false">IF(F259="OK","-",'Données Contrats'!B259)</f>
        <v>1</v>
      </c>
    </row>
    <row r="260" customFormat="false" ht="15" hidden="false" customHeight="true" outlineLevel="0" collapsed="false">
      <c r="A260" s="5" t="str">
        <f aca="false">'Données Contrats'!A260</f>
        <v>CTR-10256</v>
      </c>
      <c r="B260" s="7" t="n">
        <f aca="false">'Données Contrats'!B260</f>
        <v>0.9696</v>
      </c>
      <c r="C260" s="7" t="n">
        <f aca="false">'Données Contrats'!C260</f>
        <v>0.9696</v>
      </c>
      <c r="D260" s="25" t="n">
        <f aca="false">'Données Contrats'!D260</f>
        <v>0</v>
      </c>
      <c r="E260" s="26" t="n">
        <f aca="false">'Données Contrats'!E260</f>
        <v>0</v>
      </c>
      <c r="F260" s="5" t="str">
        <f aca="false">'Données Contrats'!F260</f>
        <v>OK</v>
      </c>
      <c r="G260" s="27" t="str">
        <f aca="false">IF(F260="OK","-",'Données Contrats'!B260)</f>
        <v>-</v>
      </c>
    </row>
    <row r="261" customFormat="false" ht="15" hidden="false" customHeight="true" outlineLevel="0" collapsed="false">
      <c r="A261" s="5" t="str">
        <f aca="false">'Données Contrats'!A261</f>
        <v>CTR-10257</v>
      </c>
      <c r="B261" s="7" t="n">
        <f aca="false">'Données Contrats'!B261</f>
        <v>0.9135</v>
      </c>
      <c r="C261" s="7" t="n">
        <f aca="false">'Données Contrats'!C261</f>
        <v>0.9135</v>
      </c>
      <c r="D261" s="25" t="n">
        <f aca="false">'Données Contrats'!D261</f>
        <v>0</v>
      </c>
      <c r="E261" s="26" t="n">
        <f aca="false">'Données Contrats'!E261</f>
        <v>0</v>
      </c>
      <c r="F261" s="5" t="str">
        <f aca="false">'Données Contrats'!F261</f>
        <v>OK</v>
      </c>
      <c r="G261" s="27" t="str">
        <f aca="false">IF(F261="OK","-",'Données Contrats'!B261)</f>
        <v>-</v>
      </c>
    </row>
    <row r="262" customFormat="false" ht="15" hidden="false" customHeight="true" outlineLevel="0" collapsed="false">
      <c r="A262" s="5" t="str">
        <f aca="false">'Données Contrats'!A262</f>
        <v>CTR-10258</v>
      </c>
      <c r="B262" s="7" t="n">
        <f aca="false">'Données Contrats'!B262</f>
        <v>1</v>
      </c>
      <c r="C262" s="7" t="n">
        <f aca="false">'Données Contrats'!C262</f>
        <v>1</v>
      </c>
      <c r="D262" s="25" t="n">
        <f aca="false">'Données Contrats'!D262</f>
        <v>0</v>
      </c>
      <c r="E262" s="26" t="n">
        <f aca="false">'Données Contrats'!E262</f>
        <v>0</v>
      </c>
      <c r="F262" s="5" t="str">
        <f aca="false">'Données Contrats'!F262</f>
        <v>OK</v>
      </c>
      <c r="G262" s="27" t="str">
        <f aca="false">IF(F262="OK","-",'Données Contrats'!B262)</f>
        <v>-</v>
      </c>
    </row>
    <row r="263" customFormat="false" ht="15" hidden="false" customHeight="true" outlineLevel="0" collapsed="false">
      <c r="A263" s="5" t="str">
        <f aca="false">'Données Contrats'!A263</f>
        <v>CTR-10259</v>
      </c>
      <c r="B263" s="7" t="n">
        <f aca="false">'Données Contrats'!B263</f>
        <v>0.9655</v>
      </c>
      <c r="C263" s="7" t="n">
        <f aca="false">'Données Contrats'!C263</f>
        <v>0.9655</v>
      </c>
      <c r="D263" s="25" t="n">
        <f aca="false">'Données Contrats'!D263</f>
        <v>0</v>
      </c>
      <c r="E263" s="26" t="n">
        <f aca="false">'Données Contrats'!E263</f>
        <v>0</v>
      </c>
      <c r="F263" s="5" t="str">
        <f aca="false">'Données Contrats'!F263</f>
        <v>OK</v>
      </c>
      <c r="G263" s="27" t="str">
        <f aca="false">IF(F263="OK","-",'Données Contrats'!B263)</f>
        <v>-</v>
      </c>
    </row>
    <row r="264" customFormat="false" ht="15" hidden="false" customHeight="true" outlineLevel="0" collapsed="false">
      <c r="A264" s="5" t="str">
        <f aca="false">'Données Contrats'!A264</f>
        <v>CTR-10260</v>
      </c>
      <c r="B264" s="7" t="n">
        <f aca="false">'Données Contrats'!B264</f>
        <v>0.9205</v>
      </c>
      <c r="C264" s="7" t="n">
        <f aca="false">'Données Contrats'!C264</f>
        <v>0.9751</v>
      </c>
      <c r="D264" s="25" t="n">
        <f aca="false">'Données Contrats'!D264</f>
        <v>0.0546</v>
      </c>
      <c r="E264" s="26" t="n">
        <f aca="false">'Données Contrats'!E264</f>
        <v>0.0593155893536122</v>
      </c>
      <c r="F264" s="5" t="str">
        <f aca="false">'Données Contrats'!F264</f>
        <v>Critique</v>
      </c>
      <c r="G264" s="27" t="n">
        <f aca="false">IF(F264="OK","-",'Données Contrats'!B264)</f>
        <v>0.9205</v>
      </c>
    </row>
    <row r="265" customFormat="false" ht="15" hidden="false" customHeight="true" outlineLevel="0" collapsed="false">
      <c r="A265" s="5" t="str">
        <f aca="false">'Données Contrats'!A265</f>
        <v>CTR-10261</v>
      </c>
      <c r="B265" s="7" t="n">
        <f aca="false">'Données Contrats'!B265</f>
        <v>1.0933</v>
      </c>
      <c r="C265" s="7" t="n">
        <f aca="false">'Données Contrats'!C265</f>
        <v>1.0933</v>
      </c>
      <c r="D265" s="25" t="n">
        <f aca="false">'Données Contrats'!D265</f>
        <v>0</v>
      </c>
      <c r="E265" s="26" t="n">
        <f aca="false">'Données Contrats'!E265</f>
        <v>0</v>
      </c>
      <c r="F265" s="5" t="str">
        <f aca="false">'Données Contrats'!F265</f>
        <v>OK</v>
      </c>
      <c r="G265" s="27" t="str">
        <f aca="false">IF(F265="OK","-",'Données Contrats'!B265)</f>
        <v>-</v>
      </c>
    </row>
    <row r="266" customFormat="false" ht="15" hidden="false" customHeight="true" outlineLevel="0" collapsed="false">
      <c r="A266" s="5" t="str">
        <f aca="false">'Données Contrats'!A266</f>
        <v>CTR-10262</v>
      </c>
      <c r="B266" s="7" t="n">
        <f aca="false">'Données Contrats'!B266</f>
        <v>1.0934</v>
      </c>
      <c r="C266" s="7" t="n">
        <f aca="false">'Données Contrats'!C266</f>
        <v>1.0566</v>
      </c>
      <c r="D266" s="25" t="n">
        <f aca="false">'Données Contrats'!D266</f>
        <v>-0.0367999999999999</v>
      </c>
      <c r="E266" s="26" t="n">
        <f aca="false">'Données Contrats'!E266</f>
        <v>-0.0336564843607097</v>
      </c>
      <c r="F266" s="5" t="str">
        <f aca="false">'Données Contrats'!F266</f>
        <v>Critique</v>
      </c>
      <c r="G266" s="27" t="n">
        <f aca="false">IF(F266="OK","-",'Données Contrats'!B266)</f>
        <v>1.0934</v>
      </c>
    </row>
    <row r="267" customFormat="false" ht="15" hidden="false" customHeight="true" outlineLevel="0" collapsed="false">
      <c r="A267" s="5" t="str">
        <f aca="false">'Données Contrats'!A267</f>
        <v>CTR-10263</v>
      </c>
      <c r="B267" s="7" t="n">
        <f aca="false">'Données Contrats'!B267</f>
        <v>1</v>
      </c>
      <c r="C267" s="7" t="n">
        <f aca="false">'Données Contrats'!C267</f>
        <v>0.9148</v>
      </c>
      <c r="D267" s="25" t="n">
        <f aca="false">'Données Contrats'!D267</f>
        <v>-0.0852000000000001</v>
      </c>
      <c r="E267" s="26" t="n">
        <f aca="false">'Données Contrats'!E267</f>
        <v>-0.0852000000000001</v>
      </c>
      <c r="F267" s="5" t="str">
        <f aca="false">'Données Contrats'!F267</f>
        <v>Critique</v>
      </c>
      <c r="G267" s="27" t="n">
        <f aca="false">IF(F267="OK","-",'Données Contrats'!B267)</f>
        <v>1</v>
      </c>
    </row>
    <row r="268" customFormat="false" ht="15" hidden="false" customHeight="true" outlineLevel="0" collapsed="false">
      <c r="A268" s="5" t="str">
        <f aca="false">'Données Contrats'!A268</f>
        <v>CTR-10264</v>
      </c>
      <c r="B268" s="7" t="n">
        <f aca="false">'Données Contrats'!B268</f>
        <v>1</v>
      </c>
      <c r="C268" s="7" t="n">
        <f aca="false">'Données Contrats'!C268</f>
        <v>1</v>
      </c>
      <c r="D268" s="25" t="n">
        <f aca="false">'Données Contrats'!D268</f>
        <v>0</v>
      </c>
      <c r="E268" s="26" t="n">
        <f aca="false">'Données Contrats'!E268</f>
        <v>0</v>
      </c>
      <c r="F268" s="5" t="str">
        <f aca="false">'Données Contrats'!F268</f>
        <v>OK</v>
      </c>
      <c r="G268" s="27" t="str">
        <f aca="false">IF(F268="OK","-",'Données Contrats'!B268)</f>
        <v>-</v>
      </c>
    </row>
    <row r="269" customFormat="false" ht="15" hidden="false" customHeight="true" outlineLevel="0" collapsed="false">
      <c r="A269" s="5" t="str">
        <f aca="false">'Données Contrats'!A269</f>
        <v>CTR-10265</v>
      </c>
      <c r="B269" s="7" t="n">
        <f aca="false">'Données Contrats'!B269</f>
        <v>1.1312</v>
      </c>
      <c r="C269" s="7" t="n">
        <f aca="false">'Données Contrats'!C269</f>
        <v>1.1312</v>
      </c>
      <c r="D269" s="25" t="n">
        <f aca="false">'Données Contrats'!D269</f>
        <v>0</v>
      </c>
      <c r="E269" s="26" t="n">
        <f aca="false">'Données Contrats'!E269</f>
        <v>0</v>
      </c>
      <c r="F269" s="5" t="str">
        <f aca="false">'Données Contrats'!F269</f>
        <v>OK</v>
      </c>
      <c r="G269" s="27" t="str">
        <f aca="false">IF(F269="OK","-",'Données Contrats'!B269)</f>
        <v>-</v>
      </c>
    </row>
    <row r="270" customFormat="false" ht="15" hidden="false" customHeight="true" outlineLevel="0" collapsed="false">
      <c r="A270" s="5" t="str">
        <f aca="false">'Données Contrats'!A270</f>
        <v>CTR-10266</v>
      </c>
      <c r="B270" s="7" t="n">
        <f aca="false">'Données Contrats'!B270</f>
        <v>1.0954</v>
      </c>
      <c r="C270" s="7" t="n">
        <f aca="false">'Données Contrats'!C270</f>
        <v>1.0954</v>
      </c>
      <c r="D270" s="25" t="n">
        <f aca="false">'Données Contrats'!D270</f>
        <v>0</v>
      </c>
      <c r="E270" s="26" t="n">
        <f aca="false">'Données Contrats'!E270</f>
        <v>0</v>
      </c>
      <c r="F270" s="5" t="str">
        <f aca="false">'Données Contrats'!F270</f>
        <v>OK</v>
      </c>
      <c r="G270" s="27" t="str">
        <f aca="false">IF(F270="OK","-",'Données Contrats'!B270)</f>
        <v>-</v>
      </c>
    </row>
    <row r="271" customFormat="false" ht="15" hidden="false" customHeight="true" outlineLevel="0" collapsed="false">
      <c r="A271" s="5" t="str">
        <f aca="false">'Données Contrats'!A271</f>
        <v>CTR-10267</v>
      </c>
      <c r="B271" s="7" t="n">
        <f aca="false">'Données Contrats'!B271</f>
        <v>0.9484</v>
      </c>
      <c r="C271" s="7" t="n">
        <f aca="false">'Données Contrats'!C271</f>
        <v>0.9484</v>
      </c>
      <c r="D271" s="25" t="n">
        <f aca="false">'Données Contrats'!D271</f>
        <v>0</v>
      </c>
      <c r="E271" s="26" t="n">
        <f aca="false">'Données Contrats'!E271</f>
        <v>0</v>
      </c>
      <c r="F271" s="5" t="str">
        <f aca="false">'Données Contrats'!F271</f>
        <v>OK</v>
      </c>
      <c r="G271" s="27" t="str">
        <f aca="false">IF(F271="OK","-",'Données Contrats'!B271)</f>
        <v>-</v>
      </c>
    </row>
    <row r="272" customFormat="false" ht="15" hidden="false" customHeight="true" outlineLevel="0" collapsed="false">
      <c r="A272" s="5" t="str">
        <f aca="false">'Données Contrats'!A272</f>
        <v>CTR-10268</v>
      </c>
      <c r="B272" s="7" t="n">
        <f aca="false">'Données Contrats'!B272</f>
        <v>1.1289</v>
      </c>
      <c r="C272" s="7" t="n">
        <f aca="false">'Données Contrats'!C272</f>
        <v>1.1289</v>
      </c>
      <c r="D272" s="25" t="n">
        <f aca="false">'Données Contrats'!D272</f>
        <v>0</v>
      </c>
      <c r="E272" s="26" t="n">
        <f aca="false">'Données Contrats'!E272</f>
        <v>0</v>
      </c>
      <c r="F272" s="5" t="str">
        <f aca="false">'Données Contrats'!F272</f>
        <v>OK</v>
      </c>
      <c r="G272" s="27" t="str">
        <f aca="false">IF(F272="OK","-",'Données Contrats'!B272)</f>
        <v>-</v>
      </c>
    </row>
    <row r="273" customFormat="false" ht="15" hidden="false" customHeight="true" outlineLevel="0" collapsed="false">
      <c r="A273" s="5" t="str">
        <f aca="false">'Données Contrats'!A273</f>
        <v>CTR-10269</v>
      </c>
      <c r="B273" s="7" t="n">
        <f aca="false">'Données Contrats'!B273</f>
        <v>1.0251</v>
      </c>
      <c r="C273" s="7" t="n">
        <f aca="false">'Données Contrats'!C273</f>
        <v>1.0251</v>
      </c>
      <c r="D273" s="25" t="n">
        <f aca="false">'Données Contrats'!D273</f>
        <v>0</v>
      </c>
      <c r="E273" s="26" t="n">
        <f aca="false">'Données Contrats'!E273</f>
        <v>0</v>
      </c>
      <c r="F273" s="5" t="str">
        <f aca="false">'Données Contrats'!F273</f>
        <v>OK</v>
      </c>
      <c r="G273" s="27" t="str">
        <f aca="false">IF(F273="OK","-",'Données Contrats'!B273)</f>
        <v>-</v>
      </c>
    </row>
    <row r="274" customFormat="false" ht="15" hidden="false" customHeight="true" outlineLevel="0" collapsed="false">
      <c r="A274" s="5" t="str">
        <f aca="false">'Données Contrats'!A274</f>
        <v>CTR-10270</v>
      </c>
      <c r="B274" s="7" t="n">
        <f aca="false">'Données Contrats'!B274</f>
        <v>0.9352</v>
      </c>
      <c r="C274" s="7" t="n">
        <f aca="false">'Données Contrats'!C274</f>
        <v>0.9352</v>
      </c>
      <c r="D274" s="25" t="n">
        <f aca="false">'Données Contrats'!D274</f>
        <v>0</v>
      </c>
      <c r="E274" s="26" t="n">
        <f aca="false">'Données Contrats'!E274</f>
        <v>0</v>
      </c>
      <c r="F274" s="5" t="str">
        <f aca="false">'Données Contrats'!F274</f>
        <v>OK</v>
      </c>
      <c r="G274" s="27" t="str">
        <f aca="false">IF(F274="OK","-",'Données Contrats'!B274)</f>
        <v>-</v>
      </c>
    </row>
    <row r="275" customFormat="false" ht="15" hidden="false" customHeight="true" outlineLevel="0" collapsed="false">
      <c r="A275" s="5" t="str">
        <f aca="false">'Données Contrats'!A275</f>
        <v>CTR-10271</v>
      </c>
      <c r="B275" s="7" t="n">
        <f aca="false">'Données Contrats'!B275</f>
        <v>1</v>
      </c>
      <c r="C275" s="7" t="n">
        <f aca="false">'Données Contrats'!C275</f>
        <v>1</v>
      </c>
      <c r="D275" s="25" t="n">
        <f aca="false">'Données Contrats'!D275</f>
        <v>0</v>
      </c>
      <c r="E275" s="26" t="n">
        <f aca="false">'Données Contrats'!E275</f>
        <v>0</v>
      </c>
      <c r="F275" s="5" t="str">
        <f aca="false">'Données Contrats'!F275</f>
        <v>OK</v>
      </c>
      <c r="G275" s="27" t="str">
        <f aca="false">IF(F275="OK","-",'Données Contrats'!B275)</f>
        <v>-</v>
      </c>
    </row>
    <row r="276" customFormat="false" ht="15" hidden="false" customHeight="true" outlineLevel="0" collapsed="false">
      <c r="A276" s="5" t="str">
        <f aca="false">'Données Contrats'!A276</f>
        <v>CTR-10272</v>
      </c>
      <c r="B276" s="7" t="n">
        <f aca="false">'Données Contrats'!B276</f>
        <v>1</v>
      </c>
      <c r="C276" s="7" t="n">
        <f aca="false">'Données Contrats'!C276</f>
        <v>1</v>
      </c>
      <c r="D276" s="25" t="n">
        <f aca="false">'Données Contrats'!D276</f>
        <v>0</v>
      </c>
      <c r="E276" s="26" t="n">
        <f aca="false">'Données Contrats'!E276</f>
        <v>0</v>
      </c>
      <c r="F276" s="5" t="str">
        <f aca="false">'Données Contrats'!F276</f>
        <v>OK</v>
      </c>
      <c r="G276" s="27" t="str">
        <f aca="false">IF(F276="OK","-",'Données Contrats'!B276)</f>
        <v>-</v>
      </c>
    </row>
    <row r="277" customFormat="false" ht="15" hidden="false" customHeight="true" outlineLevel="0" collapsed="false">
      <c r="A277" s="5" t="str">
        <f aca="false">'Données Contrats'!A277</f>
        <v>CTR-10273</v>
      </c>
      <c r="B277" s="7" t="n">
        <f aca="false">'Données Contrats'!B277</f>
        <v>1</v>
      </c>
      <c r="C277" s="7" t="n">
        <f aca="false">'Données Contrats'!C277</f>
        <v>1</v>
      </c>
      <c r="D277" s="25" t="n">
        <f aca="false">'Données Contrats'!D277</f>
        <v>0</v>
      </c>
      <c r="E277" s="26" t="n">
        <f aca="false">'Données Contrats'!E277</f>
        <v>0</v>
      </c>
      <c r="F277" s="5" t="str">
        <f aca="false">'Données Contrats'!F277</f>
        <v>OK</v>
      </c>
      <c r="G277" s="27" t="str">
        <f aca="false">IF(F277="OK","-",'Données Contrats'!B277)</f>
        <v>-</v>
      </c>
    </row>
    <row r="278" customFormat="false" ht="15" hidden="false" customHeight="true" outlineLevel="0" collapsed="false">
      <c r="A278" s="5" t="str">
        <f aca="false">'Données Contrats'!A278</f>
        <v>CTR-10274</v>
      </c>
      <c r="B278" s="7" t="n">
        <f aca="false">'Données Contrats'!B278</f>
        <v>1.1454</v>
      </c>
      <c r="C278" s="7" t="n">
        <f aca="false">'Données Contrats'!C278</f>
        <v>1.1454</v>
      </c>
      <c r="D278" s="25" t="n">
        <f aca="false">'Données Contrats'!D278</f>
        <v>0</v>
      </c>
      <c r="E278" s="26" t="n">
        <f aca="false">'Données Contrats'!E278</f>
        <v>0</v>
      </c>
      <c r="F278" s="5" t="str">
        <f aca="false">'Données Contrats'!F278</f>
        <v>OK</v>
      </c>
      <c r="G278" s="27" t="str">
        <f aca="false">IF(F278="OK","-",'Données Contrats'!B278)</f>
        <v>-</v>
      </c>
    </row>
    <row r="279" customFormat="false" ht="15" hidden="false" customHeight="true" outlineLevel="0" collapsed="false">
      <c r="A279" s="5" t="str">
        <f aca="false">'Données Contrats'!A279</f>
        <v>CTR-10275</v>
      </c>
      <c r="B279" s="7" t="n">
        <f aca="false">'Données Contrats'!B279</f>
        <v>1.1053</v>
      </c>
      <c r="C279" s="7" t="n">
        <f aca="false">'Données Contrats'!C279</f>
        <v>1.1053</v>
      </c>
      <c r="D279" s="25" t="n">
        <f aca="false">'Données Contrats'!D279</f>
        <v>0</v>
      </c>
      <c r="E279" s="26" t="n">
        <f aca="false">'Données Contrats'!E279</f>
        <v>0</v>
      </c>
      <c r="F279" s="5" t="str">
        <f aca="false">'Données Contrats'!F279</f>
        <v>OK</v>
      </c>
      <c r="G279" s="27" t="str">
        <f aca="false">IF(F279="OK","-",'Données Contrats'!B279)</f>
        <v>-</v>
      </c>
    </row>
    <row r="280" customFormat="false" ht="15" hidden="false" customHeight="true" outlineLevel="0" collapsed="false">
      <c r="A280" s="5" t="str">
        <f aca="false">'Données Contrats'!A280</f>
        <v>CTR-10276</v>
      </c>
      <c r="B280" s="7" t="n">
        <f aca="false">'Données Contrats'!B280</f>
        <v>1</v>
      </c>
      <c r="C280" s="7" t="n">
        <f aca="false">'Données Contrats'!C280</f>
        <v>1</v>
      </c>
      <c r="D280" s="25" t="n">
        <f aca="false">'Données Contrats'!D280</f>
        <v>0</v>
      </c>
      <c r="E280" s="26" t="n">
        <f aca="false">'Données Contrats'!E280</f>
        <v>0</v>
      </c>
      <c r="F280" s="5" t="str">
        <f aca="false">'Données Contrats'!F280</f>
        <v>OK</v>
      </c>
      <c r="G280" s="27" t="str">
        <f aca="false">IF(F280="OK","-",'Données Contrats'!B280)</f>
        <v>-</v>
      </c>
    </row>
    <row r="281" customFormat="false" ht="15" hidden="false" customHeight="true" outlineLevel="0" collapsed="false">
      <c r="A281" s="5" t="str">
        <f aca="false">'Données Contrats'!A281</f>
        <v>CTR-10277</v>
      </c>
      <c r="B281" s="7" t="n">
        <f aca="false">'Données Contrats'!B281</f>
        <v>0.9515</v>
      </c>
      <c r="C281" s="7" t="n">
        <f aca="false">'Données Contrats'!C281</f>
        <v>0.9515</v>
      </c>
      <c r="D281" s="25" t="n">
        <f aca="false">'Données Contrats'!D281</f>
        <v>0</v>
      </c>
      <c r="E281" s="26" t="n">
        <f aca="false">'Données Contrats'!E281</f>
        <v>0</v>
      </c>
      <c r="F281" s="5" t="str">
        <f aca="false">'Données Contrats'!F281</f>
        <v>OK</v>
      </c>
      <c r="G281" s="27" t="str">
        <f aca="false">IF(F281="OK","-",'Données Contrats'!B281)</f>
        <v>-</v>
      </c>
    </row>
    <row r="282" customFormat="false" ht="15" hidden="false" customHeight="true" outlineLevel="0" collapsed="false">
      <c r="A282" s="5" t="str">
        <f aca="false">'Données Contrats'!A282</f>
        <v>CTR-10278</v>
      </c>
      <c r="B282" s="7" t="n">
        <f aca="false">'Données Contrats'!B282</f>
        <v>1.116</v>
      </c>
      <c r="C282" s="7" t="n">
        <f aca="false">'Données Contrats'!C282</f>
        <v>1.0697</v>
      </c>
      <c r="D282" s="25" t="n">
        <f aca="false">'Données Contrats'!D282</f>
        <v>-0.0463</v>
      </c>
      <c r="E282" s="26" t="n">
        <f aca="false">'Données Contrats'!E282</f>
        <v>-0.0414874551971326</v>
      </c>
      <c r="F282" s="5" t="str">
        <f aca="false">'Données Contrats'!F282</f>
        <v>Critique</v>
      </c>
      <c r="G282" s="27" t="n">
        <f aca="false">IF(F282="OK","-",'Données Contrats'!B282)</f>
        <v>1.116</v>
      </c>
    </row>
    <row r="283" customFormat="false" ht="15" hidden="false" customHeight="true" outlineLevel="0" collapsed="false">
      <c r="A283" s="5" t="str">
        <f aca="false">'Données Contrats'!A283</f>
        <v>CTR-10279</v>
      </c>
      <c r="B283" s="7" t="n">
        <f aca="false">'Données Contrats'!B283</f>
        <v>0.929</v>
      </c>
      <c r="C283" s="7" t="n">
        <f aca="false">'Données Contrats'!C283</f>
        <v>0.929</v>
      </c>
      <c r="D283" s="25" t="n">
        <f aca="false">'Données Contrats'!D283</f>
        <v>0</v>
      </c>
      <c r="E283" s="26" t="n">
        <f aca="false">'Données Contrats'!E283</f>
        <v>0</v>
      </c>
      <c r="F283" s="5" t="str">
        <f aca="false">'Données Contrats'!F283</f>
        <v>OK</v>
      </c>
      <c r="G283" s="27" t="str">
        <f aca="false">IF(F283="OK","-",'Données Contrats'!B283)</f>
        <v>-</v>
      </c>
    </row>
    <row r="284" customFormat="false" ht="15" hidden="false" customHeight="true" outlineLevel="0" collapsed="false">
      <c r="A284" s="5" t="str">
        <f aca="false">'Données Contrats'!A284</f>
        <v>CTR-10280</v>
      </c>
      <c r="B284" s="7" t="n">
        <f aca="false">'Données Contrats'!B284</f>
        <v>0.9613</v>
      </c>
      <c r="C284" s="7" t="n">
        <f aca="false">'Données Contrats'!C284</f>
        <v>0.9613</v>
      </c>
      <c r="D284" s="25" t="n">
        <f aca="false">'Données Contrats'!D284</f>
        <v>0</v>
      </c>
      <c r="E284" s="26" t="n">
        <f aca="false">'Données Contrats'!E284</f>
        <v>0</v>
      </c>
      <c r="F284" s="5" t="str">
        <f aca="false">'Données Contrats'!F284</f>
        <v>OK</v>
      </c>
      <c r="G284" s="27" t="str">
        <f aca="false">IF(F284="OK","-",'Données Contrats'!B284)</f>
        <v>-</v>
      </c>
    </row>
    <row r="285" customFormat="false" ht="15" hidden="false" customHeight="true" outlineLevel="0" collapsed="false">
      <c r="A285" s="5" t="str">
        <f aca="false">'Données Contrats'!A285</f>
        <v>CTR-10281</v>
      </c>
      <c r="B285" s="7" t="n">
        <f aca="false">'Données Contrats'!B285</f>
        <v>1.1225</v>
      </c>
      <c r="C285" s="7" t="n">
        <f aca="false">'Données Contrats'!C285</f>
        <v>1.1225</v>
      </c>
      <c r="D285" s="25" t="n">
        <f aca="false">'Données Contrats'!D285</f>
        <v>0</v>
      </c>
      <c r="E285" s="26" t="n">
        <f aca="false">'Données Contrats'!E285</f>
        <v>0</v>
      </c>
      <c r="F285" s="5" t="str">
        <f aca="false">'Données Contrats'!F285</f>
        <v>OK</v>
      </c>
      <c r="G285" s="27" t="str">
        <f aca="false">IF(F285="OK","-",'Données Contrats'!B285)</f>
        <v>-</v>
      </c>
    </row>
    <row r="286" customFormat="false" ht="15" hidden="false" customHeight="true" outlineLevel="0" collapsed="false">
      <c r="A286" s="5" t="str">
        <f aca="false">'Données Contrats'!A286</f>
        <v>CTR-10282</v>
      </c>
      <c r="B286" s="7" t="n">
        <f aca="false">'Données Contrats'!B286</f>
        <v>1.1003</v>
      </c>
      <c r="C286" s="7" t="n">
        <f aca="false">'Données Contrats'!C286</f>
        <v>1.1003</v>
      </c>
      <c r="D286" s="25" t="n">
        <f aca="false">'Données Contrats'!D286</f>
        <v>0</v>
      </c>
      <c r="E286" s="26" t="n">
        <f aca="false">'Données Contrats'!E286</f>
        <v>0</v>
      </c>
      <c r="F286" s="5" t="str">
        <f aca="false">'Données Contrats'!F286</f>
        <v>OK</v>
      </c>
      <c r="G286" s="27" t="str">
        <f aca="false">IF(F286="OK","-",'Données Contrats'!B286)</f>
        <v>-</v>
      </c>
    </row>
    <row r="287" customFormat="false" ht="15" hidden="false" customHeight="true" outlineLevel="0" collapsed="false">
      <c r="A287" s="5" t="str">
        <f aca="false">'Données Contrats'!A287</f>
        <v>CTR-10283</v>
      </c>
      <c r="B287" s="7" t="n">
        <f aca="false">'Données Contrats'!B287</f>
        <v>1.1281</v>
      </c>
      <c r="C287" s="7" t="n">
        <f aca="false">'Données Contrats'!C287</f>
        <v>1.1556</v>
      </c>
      <c r="D287" s="25" t="n">
        <f aca="false">'Données Contrats'!D287</f>
        <v>0.0274999999999999</v>
      </c>
      <c r="E287" s="26" t="n">
        <f aca="false">'Données Contrats'!E287</f>
        <v>0.0243772715184823</v>
      </c>
      <c r="F287" s="5" t="str">
        <f aca="false">'Données Contrats'!F287</f>
        <v>Critique</v>
      </c>
      <c r="G287" s="27" t="n">
        <f aca="false">IF(F287="OK","-",'Données Contrats'!B287)</f>
        <v>1.1281</v>
      </c>
    </row>
    <row r="288" customFormat="false" ht="15" hidden="false" customHeight="true" outlineLevel="0" collapsed="false">
      <c r="A288" s="5" t="str">
        <f aca="false">'Données Contrats'!A288</f>
        <v>CTR-10284</v>
      </c>
      <c r="B288" s="7" t="n">
        <f aca="false">'Données Contrats'!B288</f>
        <v>1.0994</v>
      </c>
      <c r="C288" s="7" t="n">
        <f aca="false">'Données Contrats'!C288</f>
        <v>1.1925</v>
      </c>
      <c r="D288" s="25" t="n">
        <f aca="false">'Données Contrats'!D288</f>
        <v>0.0931</v>
      </c>
      <c r="E288" s="26" t="n">
        <f aca="false">'Données Contrats'!E288</f>
        <v>0.0846825541204293</v>
      </c>
      <c r="F288" s="5" t="str">
        <f aca="false">'Données Contrats'!F288</f>
        <v>Critique</v>
      </c>
      <c r="G288" s="27" t="n">
        <f aca="false">IF(F288="OK","-",'Données Contrats'!B288)</f>
        <v>1.0994</v>
      </c>
    </row>
    <row r="289" customFormat="false" ht="15" hidden="false" customHeight="true" outlineLevel="0" collapsed="false">
      <c r="A289" s="5" t="str">
        <f aca="false">'Données Contrats'!A289</f>
        <v>CTR-10285</v>
      </c>
      <c r="B289" s="7" t="n">
        <f aca="false">'Données Contrats'!B289</f>
        <v>1.0452</v>
      </c>
      <c r="C289" s="7" t="n">
        <f aca="false">'Données Contrats'!C289</f>
        <v>1.0016</v>
      </c>
      <c r="D289" s="25" t="n">
        <f aca="false">'Données Contrats'!D289</f>
        <v>-0.0435999999999999</v>
      </c>
      <c r="E289" s="26" t="n">
        <f aca="false">'Données Contrats'!E289</f>
        <v>-0.0417145044010714</v>
      </c>
      <c r="F289" s="5" t="str">
        <f aca="false">'Données Contrats'!F289</f>
        <v>Critique</v>
      </c>
      <c r="G289" s="27" t="n">
        <f aca="false">IF(F289="OK","-",'Données Contrats'!B289)</f>
        <v>1.0452</v>
      </c>
    </row>
    <row r="290" customFormat="false" ht="15" hidden="false" customHeight="true" outlineLevel="0" collapsed="false">
      <c r="A290" s="5" t="str">
        <f aca="false">'Données Contrats'!A290</f>
        <v>CTR-10286</v>
      </c>
      <c r="B290" s="7" t="n">
        <f aca="false">'Données Contrats'!B290</f>
        <v>0.9402</v>
      </c>
      <c r="C290" s="7" t="n">
        <f aca="false">'Données Contrats'!C290</f>
        <v>0.8902</v>
      </c>
      <c r="D290" s="25" t="n">
        <f aca="false">'Données Contrats'!D290</f>
        <v>-0.05</v>
      </c>
      <c r="E290" s="26" t="n">
        <f aca="false">'Données Contrats'!E290</f>
        <v>-0.0531801744309722</v>
      </c>
      <c r="F290" s="5" t="str">
        <f aca="false">'Données Contrats'!F290</f>
        <v>Critique</v>
      </c>
      <c r="G290" s="27" t="n">
        <f aca="false">IF(F290="OK","-",'Données Contrats'!B290)</f>
        <v>0.9402</v>
      </c>
    </row>
    <row r="291" customFormat="false" ht="15" hidden="false" customHeight="true" outlineLevel="0" collapsed="false">
      <c r="A291" s="5" t="str">
        <f aca="false">'Données Contrats'!A291</f>
        <v>CTR-10287</v>
      </c>
      <c r="B291" s="7" t="n">
        <f aca="false">'Données Contrats'!B291</f>
        <v>0.9699</v>
      </c>
      <c r="C291" s="7" t="n">
        <f aca="false">'Données Contrats'!C291</f>
        <v>0.9699</v>
      </c>
      <c r="D291" s="25" t="n">
        <f aca="false">'Données Contrats'!D291</f>
        <v>0</v>
      </c>
      <c r="E291" s="26" t="n">
        <f aca="false">'Données Contrats'!E291</f>
        <v>0</v>
      </c>
      <c r="F291" s="5" t="str">
        <f aca="false">'Données Contrats'!F291</f>
        <v>OK</v>
      </c>
      <c r="G291" s="27" t="str">
        <f aca="false">IF(F291="OK","-",'Données Contrats'!B291)</f>
        <v>-</v>
      </c>
    </row>
    <row r="292" customFormat="false" ht="15" hidden="false" customHeight="true" outlineLevel="0" collapsed="false">
      <c r="A292" s="5" t="str">
        <f aca="false">'Données Contrats'!A292</f>
        <v>CTR-10288</v>
      </c>
      <c r="B292" s="7" t="n">
        <f aca="false">'Données Contrats'!B292</f>
        <v>0.9413</v>
      </c>
      <c r="C292" s="7" t="n">
        <f aca="false">'Données Contrats'!C292</f>
        <v>0.8708</v>
      </c>
      <c r="D292" s="25" t="n">
        <f aca="false">'Données Contrats'!D292</f>
        <v>-0.0705</v>
      </c>
      <c r="E292" s="26" t="n">
        <f aca="false">'Données Contrats'!E292</f>
        <v>-0.0748964198448954</v>
      </c>
      <c r="F292" s="5" t="str">
        <f aca="false">'Données Contrats'!F292</f>
        <v>Critique</v>
      </c>
      <c r="G292" s="27" t="n">
        <f aca="false">IF(F292="OK","-",'Données Contrats'!B292)</f>
        <v>0.9413</v>
      </c>
    </row>
    <row r="293" customFormat="false" ht="15" hidden="false" customHeight="true" outlineLevel="0" collapsed="false">
      <c r="A293" s="5" t="str">
        <f aca="false">'Données Contrats'!A293</f>
        <v>CTR-10289</v>
      </c>
      <c r="B293" s="7" t="n">
        <f aca="false">'Données Contrats'!B293</f>
        <v>1</v>
      </c>
      <c r="C293" s="7" t="n">
        <f aca="false">'Données Contrats'!C293</f>
        <v>1</v>
      </c>
      <c r="D293" s="25" t="n">
        <f aca="false">'Données Contrats'!D293</f>
        <v>0</v>
      </c>
      <c r="E293" s="26" t="n">
        <f aca="false">'Données Contrats'!E293</f>
        <v>0</v>
      </c>
      <c r="F293" s="5" t="str">
        <f aca="false">'Données Contrats'!F293</f>
        <v>OK</v>
      </c>
      <c r="G293" s="27" t="str">
        <f aca="false">IF(F293="OK","-",'Données Contrats'!B293)</f>
        <v>-</v>
      </c>
    </row>
    <row r="294" customFormat="false" ht="15" hidden="false" customHeight="true" outlineLevel="0" collapsed="false">
      <c r="A294" s="5" t="str">
        <f aca="false">'Données Contrats'!A294</f>
        <v>CTR-10290</v>
      </c>
      <c r="B294" s="7" t="n">
        <f aca="false">'Données Contrats'!B294</f>
        <v>1</v>
      </c>
      <c r="C294" s="7" t="n">
        <f aca="false">'Données Contrats'!C294</f>
        <v>1</v>
      </c>
      <c r="D294" s="25" t="n">
        <f aca="false">'Données Contrats'!D294</f>
        <v>0</v>
      </c>
      <c r="E294" s="26" t="n">
        <f aca="false">'Données Contrats'!E294</f>
        <v>0</v>
      </c>
      <c r="F294" s="5" t="str">
        <f aca="false">'Données Contrats'!F294</f>
        <v>OK</v>
      </c>
      <c r="G294" s="27" t="str">
        <f aca="false">IF(F294="OK","-",'Données Contrats'!B294)</f>
        <v>-</v>
      </c>
    </row>
    <row r="295" customFormat="false" ht="15" hidden="false" customHeight="true" outlineLevel="0" collapsed="false">
      <c r="A295" s="5" t="str">
        <f aca="false">'Données Contrats'!A295</f>
        <v>CTR-10291</v>
      </c>
      <c r="B295" s="7" t="n">
        <f aca="false">'Données Contrats'!B295</f>
        <v>1.0329</v>
      </c>
      <c r="C295" s="7" t="n">
        <f aca="false">'Données Contrats'!C295</f>
        <v>1.0329</v>
      </c>
      <c r="D295" s="25" t="n">
        <f aca="false">'Données Contrats'!D295</f>
        <v>0</v>
      </c>
      <c r="E295" s="26" t="n">
        <f aca="false">'Données Contrats'!E295</f>
        <v>0</v>
      </c>
      <c r="F295" s="5" t="str">
        <f aca="false">'Données Contrats'!F295</f>
        <v>OK</v>
      </c>
      <c r="G295" s="27" t="str">
        <f aca="false">IF(F295="OK","-",'Données Contrats'!B295)</f>
        <v>-</v>
      </c>
    </row>
    <row r="296" customFormat="false" ht="15" hidden="false" customHeight="true" outlineLevel="0" collapsed="false">
      <c r="A296" s="5" t="str">
        <f aca="false">'Données Contrats'!A296</f>
        <v>CTR-10292</v>
      </c>
      <c r="B296" s="7" t="n">
        <f aca="false">'Données Contrats'!B296</f>
        <v>1</v>
      </c>
      <c r="C296" s="7" t="n">
        <f aca="false">'Données Contrats'!C296</f>
        <v>1.0518</v>
      </c>
      <c r="D296" s="25" t="n">
        <f aca="false">'Données Contrats'!D296</f>
        <v>0.0518000000000001</v>
      </c>
      <c r="E296" s="26" t="n">
        <f aca="false">'Données Contrats'!E296</f>
        <v>0.0518000000000001</v>
      </c>
      <c r="F296" s="5" t="str">
        <f aca="false">'Données Contrats'!F296</f>
        <v>Critique</v>
      </c>
      <c r="G296" s="27" t="n">
        <f aca="false">IF(F296="OK","-",'Données Contrats'!B296)</f>
        <v>1</v>
      </c>
    </row>
    <row r="297" customFormat="false" ht="15" hidden="false" customHeight="true" outlineLevel="0" collapsed="false">
      <c r="A297" s="5" t="str">
        <f aca="false">'Données Contrats'!A297</f>
        <v>CTR-10293</v>
      </c>
      <c r="B297" s="7" t="n">
        <f aca="false">'Données Contrats'!B297</f>
        <v>0.9359</v>
      </c>
      <c r="C297" s="7" t="n">
        <f aca="false">'Données Contrats'!C297</f>
        <v>0.9359</v>
      </c>
      <c r="D297" s="25" t="n">
        <f aca="false">'Données Contrats'!D297</f>
        <v>0</v>
      </c>
      <c r="E297" s="26" t="n">
        <f aca="false">'Données Contrats'!E297</f>
        <v>0</v>
      </c>
      <c r="F297" s="5" t="str">
        <f aca="false">'Données Contrats'!F297</f>
        <v>OK</v>
      </c>
      <c r="G297" s="27" t="str">
        <f aca="false">IF(F297="OK","-",'Données Contrats'!B297)</f>
        <v>-</v>
      </c>
    </row>
    <row r="298" customFormat="false" ht="15" hidden="false" customHeight="true" outlineLevel="0" collapsed="false">
      <c r="A298" s="5" t="str">
        <f aca="false">'Données Contrats'!A298</f>
        <v>CTR-10294</v>
      </c>
      <c r="B298" s="7" t="n">
        <f aca="false">'Données Contrats'!B298</f>
        <v>1.0394</v>
      </c>
      <c r="C298" s="7" t="n">
        <f aca="false">'Données Contrats'!C298</f>
        <v>1.0394</v>
      </c>
      <c r="D298" s="25" t="n">
        <f aca="false">'Données Contrats'!D298</f>
        <v>0</v>
      </c>
      <c r="E298" s="26" t="n">
        <f aca="false">'Données Contrats'!E298</f>
        <v>0</v>
      </c>
      <c r="F298" s="5" t="str">
        <f aca="false">'Données Contrats'!F298</f>
        <v>OK</v>
      </c>
      <c r="G298" s="27" t="str">
        <f aca="false">IF(F298="OK","-",'Données Contrats'!B298)</f>
        <v>-</v>
      </c>
    </row>
    <row r="299" customFormat="false" ht="15" hidden="false" customHeight="true" outlineLevel="0" collapsed="false">
      <c r="A299" s="5" t="str">
        <f aca="false">'Données Contrats'!A299</f>
        <v>CTR-10295</v>
      </c>
      <c r="B299" s="7" t="n">
        <f aca="false">'Données Contrats'!B299</f>
        <v>0.9339</v>
      </c>
      <c r="C299" s="7" t="n">
        <f aca="false">'Données Contrats'!C299</f>
        <v>0.9339</v>
      </c>
      <c r="D299" s="25" t="n">
        <f aca="false">'Données Contrats'!D299</f>
        <v>0</v>
      </c>
      <c r="E299" s="26" t="n">
        <f aca="false">'Données Contrats'!E299</f>
        <v>0</v>
      </c>
      <c r="F299" s="5" t="str">
        <f aca="false">'Données Contrats'!F299</f>
        <v>OK</v>
      </c>
      <c r="G299" s="27" t="str">
        <f aca="false">IF(F299="OK","-",'Données Contrats'!B299)</f>
        <v>-</v>
      </c>
    </row>
    <row r="300" customFormat="false" ht="15" hidden="false" customHeight="true" outlineLevel="0" collapsed="false">
      <c r="A300" s="5" t="str">
        <f aca="false">'Données Contrats'!A300</f>
        <v>CTR-10296</v>
      </c>
      <c r="B300" s="7" t="n">
        <f aca="false">'Données Contrats'!B300</f>
        <v>1.0746</v>
      </c>
      <c r="C300" s="7" t="n">
        <f aca="false">'Données Contrats'!C300</f>
        <v>1.0746</v>
      </c>
      <c r="D300" s="25" t="n">
        <f aca="false">'Données Contrats'!D300</f>
        <v>0</v>
      </c>
      <c r="E300" s="26" t="n">
        <f aca="false">'Données Contrats'!E300</f>
        <v>0</v>
      </c>
      <c r="F300" s="5" t="str">
        <f aca="false">'Données Contrats'!F300</f>
        <v>OK</v>
      </c>
      <c r="G300" s="27" t="str">
        <f aca="false">IF(F300="OK","-",'Données Contrats'!B300)</f>
        <v>-</v>
      </c>
    </row>
    <row r="301" customFormat="false" ht="15" hidden="false" customHeight="true" outlineLevel="0" collapsed="false">
      <c r="A301" s="5" t="str">
        <f aca="false">'Données Contrats'!A301</f>
        <v>CTR-10297</v>
      </c>
      <c r="B301" s="7" t="n">
        <f aca="false">'Données Contrats'!B301</f>
        <v>1.1377</v>
      </c>
      <c r="C301" s="7" t="n">
        <f aca="false">'Données Contrats'!C301</f>
        <v>1.1377</v>
      </c>
      <c r="D301" s="25" t="n">
        <f aca="false">'Données Contrats'!D301</f>
        <v>0</v>
      </c>
      <c r="E301" s="26" t="n">
        <f aca="false">'Données Contrats'!E301</f>
        <v>0</v>
      </c>
      <c r="F301" s="5" t="str">
        <f aca="false">'Données Contrats'!F301</f>
        <v>OK</v>
      </c>
      <c r="G301" s="27" t="str">
        <f aca="false">IF(F301="OK","-",'Données Contrats'!B301)</f>
        <v>-</v>
      </c>
    </row>
    <row r="302" customFormat="false" ht="15" hidden="false" customHeight="true" outlineLevel="0" collapsed="false">
      <c r="A302" s="5" t="str">
        <f aca="false">'Données Contrats'!A302</f>
        <v>CTR-10298</v>
      </c>
      <c r="B302" s="7" t="n">
        <f aca="false">'Données Contrats'!B302</f>
        <v>1.0948</v>
      </c>
      <c r="C302" s="7" t="n">
        <f aca="false">'Données Contrats'!C302</f>
        <v>1.0948</v>
      </c>
      <c r="D302" s="25" t="n">
        <f aca="false">'Données Contrats'!D302</f>
        <v>0</v>
      </c>
      <c r="E302" s="26" t="n">
        <f aca="false">'Données Contrats'!E302</f>
        <v>0</v>
      </c>
      <c r="F302" s="5" t="str">
        <f aca="false">'Données Contrats'!F302</f>
        <v>OK</v>
      </c>
      <c r="G302" s="27" t="str">
        <f aca="false">IF(F302="OK","-",'Données Contrats'!B302)</f>
        <v>-</v>
      </c>
    </row>
    <row r="303" customFormat="false" ht="15" hidden="false" customHeight="true" outlineLevel="0" collapsed="false">
      <c r="A303" s="5" t="str">
        <f aca="false">'Données Contrats'!A303</f>
        <v>CTR-10299</v>
      </c>
      <c r="B303" s="7" t="n">
        <f aca="false">'Données Contrats'!B303</f>
        <v>0.9343</v>
      </c>
      <c r="C303" s="7" t="n">
        <f aca="false">'Données Contrats'!C303</f>
        <v>0.9343</v>
      </c>
      <c r="D303" s="25" t="n">
        <f aca="false">'Données Contrats'!D303</f>
        <v>0</v>
      </c>
      <c r="E303" s="26" t="n">
        <f aca="false">'Données Contrats'!E303</f>
        <v>0</v>
      </c>
      <c r="F303" s="5" t="str">
        <f aca="false">'Données Contrats'!F303</f>
        <v>OK</v>
      </c>
      <c r="G303" s="27" t="str">
        <f aca="false">IF(F303="OK","-",'Données Contrats'!B303)</f>
        <v>-</v>
      </c>
    </row>
    <row r="304" customFormat="false" ht="15" hidden="false" customHeight="true" outlineLevel="0" collapsed="false">
      <c r="A304" s="5" t="str">
        <f aca="false">'Données Contrats'!A304</f>
        <v>CTR-10300</v>
      </c>
      <c r="B304" s="7" t="n">
        <f aca="false">'Données Contrats'!B304</f>
        <v>1.1069</v>
      </c>
      <c r="C304" s="7" t="n">
        <f aca="false">'Données Contrats'!C304</f>
        <v>1.0596</v>
      </c>
      <c r="D304" s="25" t="n">
        <f aca="false">'Données Contrats'!D304</f>
        <v>-0.0472999999999999</v>
      </c>
      <c r="E304" s="26" t="n">
        <f aca="false">'Données Contrats'!E304</f>
        <v>-0.0427319541060619</v>
      </c>
      <c r="F304" s="5" t="str">
        <f aca="false">'Données Contrats'!F304</f>
        <v>Critique</v>
      </c>
      <c r="G304" s="27" t="n">
        <f aca="false">IF(F304="OK","-",'Données Contrats'!B304)</f>
        <v>1.1069</v>
      </c>
    </row>
  </sheetData>
  <autoFilter ref="A4:G304"/>
  <mergeCells count="2">
    <mergeCell ref="A1:G1"/>
    <mergeCell ref="A2:G2"/>
  </mergeCells>
  <conditionalFormatting sqref="A5:G304">
    <cfRule type="cellIs" priority="2" operator="equal" aboveAverage="0" equalAverage="0" bottom="0" percent="0" rank="0" text="" dxfId="16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2026-04-03T08:50:19Z</dcterms:created>
  <dc:creator>openpyxl</dc:creator>
  <dc:description/>
  <dc:language>en-US</dc:language>
  <cp:lastModifiedBy/>
  <dcterms:modified xsi:type="dcterms:W3CDTF">2026-04-03T08:50:50Z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