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_Population" sheetId="1" state="visible" r:id="rId3"/>
    <sheet name="Synthèse_Majoration" sheetId="2" state="visible" r:id="rId4"/>
    <sheet name="Base_Population" sheetId="3" state="visible" r:id="rId5"/>
    <sheet name="Base_Majoration" sheetId="4" state="visible" r:id="rId6"/>
    <sheet name="Visuel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<sst xmlns="http://schemas.openxmlformats.org/spreadsheetml/2006/main" count="219" uniqueCount="69">
  <si>
    <t xml:space="preserve">PRICE TEST — POPULATION CIBLE</t>
  </si>
  <si>
    <t xml:space="preserve">Analyse par année × population price test · pondération par exposition</t>
  </si>
  <si>
    <t xml:space="preserve">1 · SYNTHÈSE GLOBALE PAR ANNÉE</t>
  </si>
  <si>
    <t xml:space="preserve">Année</t>
  </si>
  <si>
    <t xml:space="preserve">Exposition</t>
  </si>
  <si>
    <t xml:space="preserve">Ressource HT</t>
  </si>
  <si>
    <t xml:space="preserve">Prime TTC moy. pondérée</t>
  </si>
  <si>
    <t xml:space="preserve">Maj moy. pondérée</t>
  </si>
  <si>
    <t xml:space="preserve">ELR pondéré</t>
  </si>
  <si>
    <t xml:space="preserve">Taux résil. hors</t>
  </si>
  <si>
    <t xml:space="preserve">Taux résil. fenêtre</t>
  </si>
  <si>
    <t xml:space="preserve">Taux résil. total</t>
  </si>
  <si>
    <t xml:space="preserve">2 · VOLUMÉTRIE — EXPOSITION PAR MODALITÉ × ANNÉE</t>
  </si>
  <si>
    <t xml:space="preserve">Population</t>
  </si>
  <si>
    <t xml:space="preserve">2022</t>
  </si>
  <si>
    <t xml:space="preserve">2023</t>
  </si>
  <si>
    <t xml:space="preserve">2024</t>
  </si>
  <si>
    <t xml:space="preserve">2025</t>
  </si>
  <si>
    <t xml:space="preserve">Total</t>
  </si>
  <si>
    <t xml:space="preserve">% Total</t>
  </si>
  <si>
    <t xml:space="preserve">Non defini</t>
  </si>
  <si>
    <t xml:space="preserve">Price Test</t>
  </si>
  <si>
    <t xml:space="preserve">Price test Sans Ant -2%</t>
  </si>
  <si>
    <t xml:space="preserve">Price test Sans Ant -3%</t>
  </si>
  <si>
    <t xml:space="preserve">Price test Sans Ant -4%</t>
  </si>
  <si>
    <t xml:space="preserve">Price test Sans Ant -5%</t>
  </si>
  <si>
    <t xml:space="preserve">Psy test - Baisse : non</t>
  </si>
  <si>
    <t xml:space="preserve">Psy test - Baisse : oui</t>
  </si>
  <si>
    <t xml:space="preserve">Verbatim Gel</t>
  </si>
  <si>
    <t xml:space="preserve">Verbatim temoin</t>
  </si>
  <si>
    <t xml:space="preserve">TOTAL</t>
  </si>
  <si>
    <t xml:space="preserve">3 · RESSOURCE HT PAR MODALITÉ × ANNÉE</t>
  </si>
  <si>
    <t xml:space="preserve">4 · MÉTRIQUES QUALITÉ PAR MODALITÉ × ANNÉE</t>
  </si>
  <si>
    <t xml:space="preserve">4a · Coefficient tarifaire moyen (maj_moy)</t>
  </si>
  <si>
    <t xml:space="preserve">4b · ELR moyen (pondéré exposition)</t>
  </si>
  <si>
    <t xml:space="preserve">4c · Taux résiliation total (hors fenêtre + fenêtre)</t>
  </si>
  <si>
    <t xml:space="preserve">PRICE TEST — MAJORATION SIMULÉE</t>
  </si>
  <si>
    <t xml:space="preserve">Analyse par année × niveau de majoration (-2%, -1%, 0, +1%, +2%)</t>
  </si>
  <si>
    <t xml:space="preserve">Nb résil. total</t>
  </si>
  <si>
    <t xml:space="preserve">Taux résil. global pondéré</t>
  </si>
  <si>
    <t xml:space="preserve">Taux résil. fenêtre pondéré</t>
  </si>
  <si>
    <t xml:space="preserve">2 · VOLUMÉTRIE — EXPOSITION PAR NIVEAU × ANNÉE</t>
  </si>
  <si>
    <t xml:space="preserve">Niveau</t>
  </si>
  <si>
    <t xml:space="preserve">3 · RESSOURCE HT PAR NIVEAU × ANNÉE</t>
  </si>
  <si>
    <t xml:space="preserve">4 · MÉTRIQUES QUALITÉ PAR NIVEAU × ANNÉE</t>
  </si>
  <si>
    <t xml:space="preserve">4b · ELR moyen</t>
  </si>
  <si>
    <t xml:space="preserve">4c · Taux résiliation global</t>
  </si>
  <si>
    <t xml:space="preserve">annee</t>
  </si>
  <si>
    <t xml:space="preserve">POL_PopulationCiblePriceTest_r</t>
  </si>
  <si>
    <t xml:space="preserve">exposition</t>
  </si>
  <si>
    <t xml:space="preserve">prime_ttc_moy</t>
  </si>
  <si>
    <t xml:space="preserve">ressource_ht</t>
  </si>
  <si>
    <t xml:space="preserve">maj_moy</t>
  </si>
  <si>
    <t xml:space="preserve">elr_moyen</t>
  </si>
  <si>
    <t xml:space="preserve">taux_resil_hors_pct</t>
  </si>
  <si>
    <t xml:space="preserve">taux_resil_fenetre_pct</t>
  </si>
  <si>
    <t xml:space="preserve">POL_MajorationPriceTest_sim</t>
  </si>
  <si>
    <t xml:space="preserve">nb_resil_fenetre</t>
  </si>
  <si>
    <t xml:space="preserve">nb_resil_hors</t>
  </si>
  <si>
    <t xml:space="preserve">nb_resil_total</t>
  </si>
  <si>
    <t xml:space="preserve">taux_resil_global</t>
  </si>
  <si>
    <t xml:space="preserve">VISUELS — ANALYSE PAR ANNÉE</t>
  </si>
  <si>
    <t xml:space="preserve">Évolution 2022-2025 des métriques price test, vue population et vue majoration</t>
  </si>
  <si>
    <t xml:space="preserve">A · Synthèse Population par année (lien dynamique)</t>
  </si>
  <si>
    <t xml:space="preserve">Ressource HT (M€)</t>
  </si>
  <si>
    <t xml:space="preserve">ELR</t>
  </si>
  <si>
    <t xml:space="preserve">Résil. total (%)</t>
  </si>
  <si>
    <t xml:space="preserve">B · Majoration moyenne par niveau × année</t>
  </si>
  <si>
    <t xml:space="preserve">C · Taux de résiliation global par niveau × année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</si>
</sst>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#,##0"/>
    <numFmt numFmtId="167" formatCode="#,##0&quot; €&quot;"/>
    <numFmt numFmtId="168" formatCode="0.0000"/>
    <numFmt numFmtId="169" formatCode="0.00&quot; %&quot;"/>
    <numFmt numFmtId="170" formatCode="0.0%"/>
    <numFmt numFmtId="171" formatCode="\+0.00%;\-0.00%;0.00%"/>
    <numFmt numFmtId="172" formatCode="#,##0.00"/>
    <numFmt numFmtId="173" formatCode="#,##0.00&quot; €&quot;"/>
    <numFmt numFmtId="174" formatCode="0.00"/>
    <numFmt numFmtId="175" formatCode="#,##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E2761"/>
      <name val="Calibri"/>
      <family val="0"/>
      <charset val="1"/>
    </font>
    <font>
      <i val="true"/>
      <sz val="11"/>
      <color rgb="FF6B7280"/>
      <name val="Calibri"/>
      <family val="0"/>
      <charset val="1"/>
    </font>
    <font>
      <b val="true"/>
      <sz val="13"/>
      <color rgb="FF1E276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028090"/>
      <name val="Calibri"/>
      <family val="0"/>
      <charset val="1"/>
    </font>
    <font>
      <b val="true"/>
      <sz val="11"/>
      <color rgb="FF1E276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28090"/>
        <bgColor rgb="FF008080"/>
      </patternFill>
    </fill>
    <fill>
      <patternFill patternType="solid">
        <fgColor rgb="FFE8EEF4"/>
        <bgColor rgb="FFF9F9F9"/>
      </patternFill>
    </fill>
    <fill>
      <patternFill patternType="solid">
        <fgColor rgb="FF1E2761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BBB59"/>
      <rgbColor rgb="FF800080"/>
      <rgbColor rgb="FF028090"/>
      <rgbColor rgb="FFDCB7B6"/>
      <rgbColor rgb="FF878787"/>
      <rgbColor rgb="FF8064A2"/>
      <rgbColor rgb="FF903836"/>
      <rgbColor rgb="FFF9F9F9"/>
      <rgbColor rgb="FFE8EEF4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4F81BD"/>
      <rgbColor rgb="FF4BACC6"/>
      <rgbColor rgb="FF98B855"/>
      <rgbColor rgb="FFFFCC00"/>
      <rgbColor rgb="FFFF9900"/>
      <rgbColor rgb="FFC0504D"/>
      <rgbColor rgb="FF6B7280"/>
      <rgbColor rgb="FFCC8F8E"/>
      <rgbColor rgb="FF1E2761"/>
      <rgbColor rgb="FF339966"/>
      <rgbColor rgb="FF003300"/>
      <rgbColor rgb="FF333300"/>
      <rgbColor rgb="FFBE4B48"/>
      <rgbColor rgb="FFAA433F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Exposition par année (Population)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Visuels!B5</c:f>
              <c:strCache>
                <c:ptCount val="1"/>
                <c:pt idx="0">
                  <c:v>Exposition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Visuels!$A$6:$A$9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Visuels!$B$6:$B$9</c:f>
              <c:numCache>
                <c:formatCode>#,##0</c:formatCode>
                <c:ptCount val="4"/>
                <c:pt idx="0">
                  <c:v>695672</c:v>
                </c:pt>
                <c:pt idx="1">
                  <c:v>917545</c:v>
                </c:pt>
                <c:pt idx="2">
                  <c:v>987049</c:v>
                </c:pt>
                <c:pt idx="3">
                  <c:v>1054625</c:v>
                </c:pt>
              </c:numCache>
            </c:numRef>
          </c:val>
        </c:ser>
        <c:gapWidth val="150"/>
        <c:overlap val="0"/>
        <c:axId val="60317619"/>
        <c:axId val="67062127"/>
      </c:barChart>
      <c:catAx>
        <c:axId val="603176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Année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062127"/>
        <c:crosses val="autoZero"/>
        <c:auto val="1"/>
        <c:lblAlgn val="ctr"/>
        <c:lblOffset val="100"/>
        <c:noMultiLvlLbl val="0"/>
      </c:catAx>
      <c:valAx>
        <c:axId val="670621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Exposition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3176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Ressource HT par année (M€)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Visuels!C5</c:f>
              <c:strCache>
                <c:ptCount val="1"/>
                <c:pt idx="0">
                  <c:v>Ressource HT (M€)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Visuels!$A$6:$A$9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Visuels!$C$6:$C$9</c:f>
              <c:numCache>
                <c:formatCode>#,##0.0</c:formatCode>
                <c:ptCount val="4"/>
                <c:pt idx="0">
                  <c:v>479.69937148</c:v>
                </c:pt>
                <c:pt idx="1">
                  <c:v>709.86085294</c:v>
                </c:pt>
                <c:pt idx="2">
                  <c:v>801.4086</c:v>
                </c:pt>
                <c:pt idx="3">
                  <c:v>904.22097</c:v>
                </c:pt>
              </c:numCache>
            </c:numRef>
          </c:val>
        </c:ser>
        <c:gapWidth val="150"/>
        <c:overlap val="0"/>
        <c:axId val="91078003"/>
        <c:axId val="4522166"/>
      </c:barChart>
      <c:catAx>
        <c:axId val="910780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Année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22166"/>
        <c:crosses val="autoZero"/>
        <c:auto val="1"/>
        <c:lblAlgn val="ctr"/>
        <c:lblOffset val="100"/>
        <c:noMultiLvlLbl val="0"/>
      </c:catAx>
      <c:valAx>
        <c:axId val="45221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Ressource HT (M€)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0780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ELR moyen pondéré par année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Visuels!D5</c:f>
              <c:strCache>
                <c:ptCount val="1"/>
                <c:pt idx="0">
                  <c:v>ELR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Visuels!$A$6:$A$9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Visuels!$D$6:$D$9</c:f>
              <c:numCache>
                <c:formatCode>0.0%</c:formatCode>
                <c:ptCount val="4"/>
                <c:pt idx="0">
                  <c:v>0.787935193884474</c:v>
                </c:pt>
                <c:pt idx="1">
                  <c:v>0.710358456533467</c:v>
                </c:pt>
                <c:pt idx="2">
                  <c:v>0.690326892991128</c:v>
                </c:pt>
                <c:pt idx="3">
                  <c:v>0.667808875192604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185088"/>
        <c:axId val="87862088"/>
      </c:lineChart>
      <c:catAx>
        <c:axId val="201850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Année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862088"/>
        <c:crosses val="autoZero"/>
        <c:auto val="1"/>
        <c:lblAlgn val="ctr"/>
        <c:lblOffset val="100"/>
        <c:noMultiLvlLbl val="0"/>
      </c:catAx>
      <c:valAx>
        <c:axId val="878620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ELR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1850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Taux de résiliation total par année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Visuels!E5</c:f>
              <c:strCache>
                <c:ptCount val="1"/>
                <c:pt idx="0">
                  <c:v>Résil. total (%)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Visuels!$A$6:$A$9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Visuels!$E$6:$E$9</c:f>
              <c:numCache>
                <c:formatCode>0.00" %"</c:formatCode>
                <c:ptCount val="4"/>
                <c:pt idx="0">
                  <c:v>23.7438542732782</c:v>
                </c:pt>
                <c:pt idx="1">
                  <c:v>16.1020356821736</c:v>
                </c:pt>
                <c:pt idx="2">
                  <c:v>22.8310641214367</c:v>
                </c:pt>
                <c:pt idx="3">
                  <c:v>23.7868401090435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1020826"/>
        <c:axId val="81733087"/>
      </c:lineChart>
      <c:catAx>
        <c:axId val="910208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Année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733087"/>
        <c:crosses val="autoZero"/>
        <c:auto val="1"/>
        <c:lblAlgn val="ctr"/>
        <c:lblOffset val="100"/>
        <c:noMultiLvlLbl val="0"/>
      </c:catAx>
      <c:valAx>
        <c:axId val="817330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Taux de résiliation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&quot; %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0208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Majoration moyenne par niveau × année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Visuels!B13</c:f>
              <c:strCache>
                <c:ptCount val="1"/>
                <c:pt idx="0">
                  <c:v>-2.00%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Visuels!$A$14:$A$17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Visuels!$B$14:$B$17</c:f>
              <c:numCache>
                <c:formatCode>0.0000</c:formatCode>
                <c:ptCount val="4"/>
                <c:pt idx="0">
                  <c:v>1.0151</c:v>
                </c:pt>
                <c:pt idx="1">
                  <c:v>1.0332</c:v>
                </c:pt>
                <c:pt idx="2">
                  <c:v>1.0541</c:v>
                </c:pt>
                <c:pt idx="3">
                  <c:v>1.0498</c:v>
                </c:pt>
              </c:numCache>
            </c:numRef>
          </c:val>
        </c:ser>
        <c:ser>
          <c:idx val="1"/>
          <c:order val="1"/>
          <c:tx>
            <c:strRef>
              <c:f>Visuels!C13</c:f>
              <c:strCache>
                <c:ptCount val="1"/>
                <c:pt idx="0">
                  <c:v>-1.00%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Visuels!$A$14:$A$17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Visuels!$C$14:$C$17</c:f>
              <c:numCache>
                <c:formatCode>0.0000</c:formatCode>
                <c:ptCount val="4"/>
                <c:pt idx="0">
                  <c:v>1.0151</c:v>
                </c:pt>
                <c:pt idx="1">
                  <c:v>1.0332</c:v>
                </c:pt>
                <c:pt idx="2">
                  <c:v>1.0541</c:v>
                </c:pt>
                <c:pt idx="3">
                  <c:v>1.0498</c:v>
                </c:pt>
              </c:numCache>
            </c:numRef>
          </c:val>
        </c:ser>
        <c:ser>
          <c:idx val="2"/>
          <c:order val="2"/>
          <c:tx>
            <c:strRef>
              <c:f>Visuels!D13</c:f>
              <c:strCache>
                <c:ptCount val="1"/>
                <c:pt idx="0">
                  <c:v>0.00%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Visuels!$A$14:$A$17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Visuels!$D$14:$D$17</c:f>
              <c:numCache>
                <c:formatCode>0.0000</c:formatCode>
                <c:ptCount val="4"/>
                <c:pt idx="0">
                  <c:v>1.0151</c:v>
                </c:pt>
                <c:pt idx="1">
                  <c:v>1.0332</c:v>
                </c:pt>
                <c:pt idx="2">
                  <c:v>1.0541</c:v>
                </c:pt>
                <c:pt idx="3">
                  <c:v>1.0498</c:v>
                </c:pt>
              </c:numCache>
            </c:numRef>
          </c:val>
        </c:ser>
        <c:ser>
          <c:idx val="3"/>
          <c:order val="3"/>
          <c:tx>
            <c:strRef>
              <c:f>Visuels!E13</c:f>
              <c:strCache>
                <c:ptCount val="1"/>
                <c:pt idx="0">
                  <c:v>+1.00%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Visuels!$A$14:$A$17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Visuels!$E$14:$E$17</c:f>
              <c:numCache>
                <c:formatCode>0.0000</c:formatCode>
                <c:ptCount val="4"/>
                <c:pt idx="0">
                  <c:v>1.0151</c:v>
                </c:pt>
                <c:pt idx="1">
                  <c:v>1.0332</c:v>
                </c:pt>
                <c:pt idx="2">
                  <c:v>1.0541</c:v>
                </c:pt>
                <c:pt idx="3">
                  <c:v>1.0498</c:v>
                </c:pt>
              </c:numCache>
            </c:numRef>
          </c:val>
        </c:ser>
        <c:ser>
          <c:idx val="4"/>
          <c:order val="4"/>
          <c:tx>
            <c:strRef>
              <c:f>Visuels!F13</c:f>
              <c:strCache>
                <c:ptCount val="1"/>
                <c:pt idx="0">
                  <c:v>+2.00%</c:v>
                </c:pt>
              </c:strCache>
            </c:strRef>
          </c:tx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Visuels!$A$14:$A$17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Visuels!$F$14:$F$17</c:f>
              <c:numCache>
                <c:formatCode>0.0000</c:formatCode>
                <c:ptCount val="4"/>
                <c:pt idx="0">
                  <c:v>1.0151</c:v>
                </c:pt>
                <c:pt idx="1">
                  <c:v>1.0332</c:v>
                </c:pt>
                <c:pt idx="2">
                  <c:v>1.0541</c:v>
                </c:pt>
                <c:pt idx="3">
                  <c:v>1.0498</c:v>
                </c:pt>
              </c:numCache>
            </c:numRef>
          </c:val>
        </c:ser>
        <c:gapWidth val="150"/>
        <c:overlap val="0"/>
        <c:axId val="30018836"/>
        <c:axId val="13180395"/>
      </c:barChart>
      <c:catAx>
        <c:axId val="300188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Année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180395"/>
        <c:crosses val="autoZero"/>
        <c:auto val="1"/>
        <c:lblAlgn val="ctr"/>
        <c:lblOffset val="100"/>
        <c:noMultiLvlLbl val="0"/>
      </c:catAx>
      <c:valAx>
        <c:axId val="131803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Coefficient tarifaire moyen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0188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Taux de résiliation global par niveau × année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Visuels!B39</c:f>
              <c:strCache>
                <c:ptCount val="1"/>
                <c:pt idx="0">
                  <c:v>-2.00%</c:v>
                </c:pt>
              </c:strCache>
            </c:strRef>
          </c:tx>
          <c:spPr>
            <a:solidFill>
              <a:srgbClr val="903836"/>
            </a:solidFill>
            <a:ln w="47520">
              <a:solidFill>
                <a:srgbClr val="90383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Visuels!$A$40:$A$43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Visuels!$B$40:$B$43</c:f>
              <c:numCache>
                <c:formatCode>0.00" %"</c:formatCode>
                <c:ptCount val="4"/>
                <c:pt idx="0">
                  <c:v>18.05</c:v>
                </c:pt>
                <c:pt idx="1">
                  <c:v>9.5</c:v>
                </c:pt>
                <c:pt idx="2">
                  <c:v>17.95</c:v>
                </c:pt>
                <c:pt idx="3">
                  <c:v>11.78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Visuels!C39</c:f>
              <c:strCache>
                <c:ptCount val="1"/>
                <c:pt idx="0">
                  <c:v>-1.00%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Visuels!$A$40:$A$43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Visuels!$C$40:$C$43</c:f>
              <c:numCache>
                <c:formatCode>0.00" %"</c:formatCode>
                <c:ptCount val="4"/>
                <c:pt idx="0">
                  <c:v>18.05</c:v>
                </c:pt>
                <c:pt idx="1">
                  <c:v>9.5</c:v>
                </c:pt>
                <c:pt idx="2">
                  <c:v>17.95</c:v>
                </c:pt>
                <c:pt idx="3">
                  <c:v>11.78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Visuels!D39</c:f>
              <c:strCache>
                <c:ptCount val="1"/>
                <c:pt idx="0">
                  <c:v>0.00%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Visuels!$A$40:$A$43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Visuels!$D$40:$D$43</c:f>
              <c:numCache>
                <c:formatCode>0.00" %"</c:formatCode>
                <c:ptCount val="4"/>
                <c:pt idx="0">
                  <c:v>18.05</c:v>
                </c:pt>
                <c:pt idx="1">
                  <c:v>9.5</c:v>
                </c:pt>
                <c:pt idx="2">
                  <c:v>17.95</c:v>
                </c:pt>
                <c:pt idx="3">
                  <c:v>11.78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Visuels!E39</c:f>
              <c:strCache>
                <c:ptCount val="1"/>
                <c:pt idx="0">
                  <c:v>+1.00%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Visuels!$A$40:$A$43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Visuels!$E$40:$E$43</c:f>
              <c:numCache>
                <c:formatCode>0.00" %"</c:formatCode>
                <c:ptCount val="4"/>
                <c:pt idx="0">
                  <c:v>18.05</c:v>
                </c:pt>
                <c:pt idx="1">
                  <c:v>9.5</c:v>
                </c:pt>
                <c:pt idx="2">
                  <c:v>17.95</c:v>
                </c:pt>
                <c:pt idx="3">
                  <c:v>11.78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Visuels!F39</c:f>
              <c:strCache>
                <c:ptCount val="1"/>
                <c:pt idx="0">
                  <c:v>+2.00%</c:v>
                </c:pt>
              </c:strCache>
            </c:strRef>
          </c:tx>
          <c:spPr>
            <a:solidFill>
              <a:srgbClr val="dcb7b6"/>
            </a:solidFill>
            <a:ln w="47520">
              <a:solidFill>
                <a:srgbClr val="dcb7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Visuels!$A$40:$A$43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Visuels!$F$40:$F$43</c:f>
              <c:numCache>
                <c:formatCode>0.00" %"</c:formatCode>
                <c:ptCount val="4"/>
                <c:pt idx="0">
                  <c:v>18.05</c:v>
                </c:pt>
                <c:pt idx="1">
                  <c:v>9.5</c:v>
                </c:pt>
                <c:pt idx="2">
                  <c:v>17.95</c:v>
                </c:pt>
                <c:pt idx="3">
                  <c:v>11.78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1701506"/>
        <c:axId val="36763718"/>
      </c:lineChart>
      <c:catAx>
        <c:axId val="917015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Année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763718"/>
        <c:crosses val="autoZero"/>
        <c:auto val="1"/>
        <c:lblAlgn val="ctr"/>
        <c:lblOffset val="100"/>
        <c:noMultiLvlLbl val="0"/>
      </c:catAx>
      <c:valAx>
        <c:axId val="367637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Taux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&quot; %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7015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14</xdr:col>
      <xdr:colOff>61560</xdr:colOff>
      <xdr:row>17</xdr:row>
      <xdr:rowOff>100440</xdr:rowOff>
    </xdr:to>
    <xdr:graphicFrame>
      <xdr:nvGraphicFramePr>
        <xdr:cNvPr id="0" name="Chart 1"/>
        <xdr:cNvGraphicFramePr/>
      </xdr:nvGraphicFramePr>
      <xdr:xfrm>
        <a:off x="5286240" y="76212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18</xdr:row>
      <xdr:rowOff>78120</xdr:rowOff>
    </xdr:from>
    <xdr:to>
      <xdr:col>14</xdr:col>
      <xdr:colOff>61560</xdr:colOff>
      <xdr:row>33</xdr:row>
      <xdr:rowOff>100080</xdr:rowOff>
    </xdr:to>
    <xdr:graphicFrame>
      <xdr:nvGraphicFramePr>
        <xdr:cNvPr id="1" name="Chart 2"/>
        <xdr:cNvGraphicFramePr/>
      </xdr:nvGraphicFramePr>
      <xdr:xfrm>
        <a:off x="5286240" y="38098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34</xdr:row>
      <xdr:rowOff>78120</xdr:rowOff>
    </xdr:from>
    <xdr:to>
      <xdr:col>14</xdr:col>
      <xdr:colOff>61560</xdr:colOff>
      <xdr:row>49</xdr:row>
      <xdr:rowOff>100080</xdr:rowOff>
    </xdr:to>
    <xdr:graphicFrame>
      <xdr:nvGraphicFramePr>
        <xdr:cNvPr id="2" name="Chart 3"/>
        <xdr:cNvGraphicFramePr/>
      </xdr:nvGraphicFramePr>
      <xdr:xfrm>
        <a:off x="5286240" y="685800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50</xdr:row>
      <xdr:rowOff>78120</xdr:rowOff>
    </xdr:from>
    <xdr:to>
      <xdr:col>14</xdr:col>
      <xdr:colOff>61560</xdr:colOff>
      <xdr:row>65</xdr:row>
      <xdr:rowOff>100440</xdr:rowOff>
    </xdr:to>
    <xdr:graphicFrame>
      <xdr:nvGraphicFramePr>
        <xdr:cNvPr id="3" name="Chart 4"/>
        <xdr:cNvGraphicFramePr/>
      </xdr:nvGraphicFramePr>
      <xdr:xfrm>
        <a:off x="5286240" y="990612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18</xdr:row>
      <xdr:rowOff>78120</xdr:rowOff>
    </xdr:from>
    <xdr:to>
      <xdr:col>6</xdr:col>
      <xdr:colOff>473400</xdr:colOff>
      <xdr:row>35</xdr:row>
      <xdr:rowOff>79200</xdr:rowOff>
    </xdr:to>
    <xdr:graphicFrame>
      <xdr:nvGraphicFramePr>
        <xdr:cNvPr id="4" name="Chart 5"/>
        <xdr:cNvGraphicFramePr/>
      </xdr:nvGraphicFramePr>
      <xdr:xfrm>
        <a:off x="0" y="3809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44</xdr:row>
      <xdr:rowOff>78120</xdr:rowOff>
    </xdr:from>
    <xdr:to>
      <xdr:col>6</xdr:col>
      <xdr:colOff>473400</xdr:colOff>
      <xdr:row>61</xdr:row>
      <xdr:rowOff>79200</xdr:rowOff>
    </xdr:to>
    <xdr:graphicFrame>
      <xdr:nvGraphicFramePr>
        <xdr:cNvPr id="5" name="Chart 6"/>
        <xdr:cNvGraphicFramePr/>
      </xdr:nvGraphicFramePr>
      <xdr:xfrm>
        <a:off x="0" y="8763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5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9" min="7" style="0" width="17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6.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</row>
    <row r="5" customFormat="false" ht="23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customFormat="false" ht="15" hidden="false" customHeight="false" outlineLevel="0" collapsed="false">
      <c r="A6" s="5" t="n">
        <v>2022</v>
      </c>
      <c r="B6" s="6" t="n">
        <f aca="false">SUMIF(Base_Population!$A$2:$A$41,A6,Base_Population!$C$2:$C$41)</f>
        <v>695672</v>
      </c>
      <c r="C6" s="7" t="n">
        <f aca="false">SUMIF(Base_Population!$A$2:$A$41,A6,Base_Population!$E$2:$E$41)</f>
        <v>479699371.48</v>
      </c>
      <c r="D6" s="7" t="n">
        <f aca="false">C6/B6</f>
        <v>689.54819437896</v>
      </c>
      <c r="E6" s="8" t="n">
        <f aca="false">SUMPRODUCT((Base_Population!$A$2:$A$41=A6)*Base_Population!$C$2:$C$41*Base_Population!$F$2:$F$41)/B6</f>
        <v>1.01604888755045</v>
      </c>
      <c r="F6" s="8" t="n">
        <f aca="false">SUMPRODUCT((Base_Population!$A$2:$A$41=A6)*Base_Population!$C$2:$C$41*Base_Population!$G$2:$G$41)/B6</f>
        <v>0.787935193884474</v>
      </c>
      <c r="G6" s="9" t="n">
        <f aca="false">SUMPRODUCT((Base_Population!$A$2:$A$41=A6)*Base_Population!$C$2:$C$41*Base_Population!$H$2:$H$41)/B6</f>
        <v>16.2198916874619</v>
      </c>
      <c r="H6" s="9" t="n">
        <f aca="false">SUMPRODUCT((Base_Population!$A$2:$A$41=A6)*Base_Population!$C$2:$C$41*Base_Population!$I$2:$I$41)/B6</f>
        <v>7.52396258581631</v>
      </c>
      <c r="I6" s="9" t="n">
        <f aca="false">G6+H6</f>
        <v>23.7438542732782</v>
      </c>
    </row>
    <row r="7" customFormat="false" ht="15" hidden="false" customHeight="false" outlineLevel="0" collapsed="false">
      <c r="A7" s="10" t="n">
        <v>2023</v>
      </c>
      <c r="B7" s="11" t="n">
        <f aca="false">SUMIF(Base_Population!$A$2:$A$41,A7,Base_Population!$C$2:$C$41)</f>
        <v>917545</v>
      </c>
      <c r="C7" s="12" t="n">
        <f aca="false">SUMIF(Base_Population!$A$2:$A$41,A7,Base_Population!$E$2:$E$41)</f>
        <v>709860852.94</v>
      </c>
      <c r="D7" s="12" t="n">
        <f aca="false">C7/B7</f>
        <v>773.652358129574</v>
      </c>
      <c r="E7" s="13" t="n">
        <f aca="false">SUMPRODUCT((Base_Population!$A$2:$A$41=A7)*Base_Population!$C$2:$C$41*Base_Population!$F$2:$F$41)/B7</f>
        <v>1.0457529318998</v>
      </c>
      <c r="F7" s="13" t="n">
        <f aca="false">SUMPRODUCT((Base_Population!$A$2:$A$41=A7)*Base_Population!$C$2:$C$41*Base_Population!$G$2:$G$41)/B7</f>
        <v>0.710358456533467</v>
      </c>
      <c r="G7" s="14" t="n">
        <f aca="false">SUMPRODUCT((Base_Population!$A$2:$A$41=A7)*Base_Population!$C$2:$C$41*Base_Population!$H$2:$H$41)/B7</f>
        <v>7.8717701475132</v>
      </c>
      <c r="H7" s="14" t="n">
        <f aca="false">SUMPRODUCT((Base_Population!$A$2:$A$41=A7)*Base_Population!$C$2:$C$41*Base_Population!$I$2:$I$41)/B7</f>
        <v>8.23026553466043</v>
      </c>
      <c r="I7" s="14" t="n">
        <f aca="false">G7+H7</f>
        <v>16.1020356821736</v>
      </c>
    </row>
    <row r="8" customFormat="false" ht="15" hidden="false" customHeight="false" outlineLevel="0" collapsed="false">
      <c r="A8" s="5" t="n">
        <v>2024</v>
      </c>
      <c r="B8" s="6" t="n">
        <f aca="false">SUMIF(Base_Population!$A$2:$A$41,A8,Base_Population!$C$2:$C$41)</f>
        <v>987049</v>
      </c>
      <c r="C8" s="7" t="n">
        <f aca="false">SUMIF(Base_Population!$A$2:$A$41,A8,Base_Population!$E$2:$E$41)</f>
        <v>801408600</v>
      </c>
      <c r="D8" s="7" t="n">
        <f aca="false">C8/B8</f>
        <v>811.923825463579</v>
      </c>
      <c r="E8" s="8" t="n">
        <f aca="false">SUMPRODUCT((Base_Population!$A$2:$A$41=A8)*Base_Population!$C$2:$C$41*Base_Population!$F$2:$F$41)/B8</f>
        <v>1.05840102740593</v>
      </c>
      <c r="F8" s="8" t="n">
        <f aca="false">SUMPRODUCT((Base_Population!$A$2:$A$41=A8)*Base_Population!$C$2:$C$41*Base_Population!$G$2:$G$41)/B8</f>
        <v>0.690326892991128</v>
      </c>
      <c r="G8" s="9" t="n">
        <f aca="false">SUMPRODUCT((Base_Population!$A$2:$A$41=A8)*Base_Population!$C$2:$C$41*Base_Population!$H$2:$H$41)/B8</f>
        <v>14.3485428382988</v>
      </c>
      <c r="H8" s="9" t="n">
        <f aca="false">SUMPRODUCT((Base_Population!$A$2:$A$41=A8)*Base_Population!$C$2:$C$41*Base_Population!$I$2:$I$41)/B8</f>
        <v>8.48252128313792</v>
      </c>
      <c r="I8" s="9" t="n">
        <f aca="false">G8+H8</f>
        <v>22.8310641214367</v>
      </c>
    </row>
    <row r="9" customFormat="false" ht="15" hidden="false" customHeight="false" outlineLevel="0" collapsed="false">
      <c r="A9" s="10" t="n">
        <v>2025</v>
      </c>
      <c r="B9" s="11" t="n">
        <f aca="false">SUMIF(Base_Population!$A$2:$A$41,A9,Base_Population!$C$2:$C$41)</f>
        <v>1054625</v>
      </c>
      <c r="C9" s="12" t="n">
        <f aca="false">SUMIF(Base_Population!$A$2:$A$41,A9,Base_Population!$E$2:$E$41)</f>
        <v>904220970</v>
      </c>
      <c r="D9" s="12" t="n">
        <f aca="false">C9/B9</f>
        <v>857.386246296077</v>
      </c>
      <c r="E9" s="13" t="n">
        <f aca="false">SUMPRODUCT((Base_Population!$A$2:$A$41=A9)*Base_Population!$C$2:$C$41*Base_Population!$F$2:$F$41)/B9</f>
        <v>1.07560300675596</v>
      </c>
      <c r="F9" s="13" t="n">
        <f aca="false">SUMPRODUCT((Base_Population!$A$2:$A$41=A9)*Base_Population!$C$2:$C$41*Base_Population!$G$2:$G$41)/B9</f>
        <v>0.667808875192604</v>
      </c>
      <c r="G9" s="14" t="n">
        <f aca="false">SUMPRODUCT((Base_Population!$A$2:$A$41=A9)*Base_Population!$C$2:$C$41*Base_Population!$H$2:$H$41)/B9</f>
        <v>14.8797155386986</v>
      </c>
      <c r="H9" s="14" t="n">
        <f aca="false">SUMPRODUCT((Base_Population!$A$2:$A$41=A9)*Base_Population!$C$2:$C$41*Base_Population!$I$2:$I$41)/B9</f>
        <v>8.90712457034491</v>
      </c>
      <c r="I9" s="14" t="n">
        <f aca="false">G9+H9</f>
        <v>23.7868401090435</v>
      </c>
    </row>
    <row r="12" customFormat="false" ht="16.15" hidden="false" customHeight="false" outlineLevel="0" collapsed="false">
      <c r="A12" s="3" t="s">
        <v>12</v>
      </c>
      <c r="B12" s="3"/>
      <c r="C12" s="3"/>
      <c r="D12" s="3"/>
      <c r="E12" s="3"/>
      <c r="F12" s="3"/>
    </row>
    <row r="13" customFormat="false" ht="15" hidden="false" customHeight="false" outlineLevel="0" collapsed="false">
      <c r="A13" s="4" t="s">
        <v>13</v>
      </c>
      <c r="B13" s="4" t="s">
        <v>14</v>
      </c>
      <c r="C13" s="4" t="s">
        <v>15</v>
      </c>
      <c r="D13" s="4" t="s">
        <v>16</v>
      </c>
      <c r="E13" s="4" t="s">
        <v>17</v>
      </c>
      <c r="F13" s="4" t="s">
        <v>18</v>
      </c>
      <c r="G13" s="4" t="s">
        <v>19</v>
      </c>
    </row>
    <row r="14" customFormat="false" ht="15" hidden="false" customHeight="false" outlineLevel="0" collapsed="false">
      <c r="A14" s="15" t="s">
        <v>20</v>
      </c>
      <c r="B14" s="6" t="n">
        <f aca="false">SUMIFS(Base_Population!$C$2:$C$41,Base_Population!$A$2:$A$41,2022,Base_Population!$B$2:$B$41,$A14)</f>
        <v>317399</v>
      </c>
      <c r="C14" s="6" t="n">
        <f aca="false">SUMIFS(Base_Population!$C$2:$C$41,Base_Population!$A$2:$A$41,2023,Base_Population!$B$2:$B$41,$A14)</f>
        <v>438800</v>
      </c>
      <c r="D14" s="6" t="n">
        <f aca="false">SUMIFS(Base_Population!$C$2:$C$41,Base_Population!$A$2:$A$41,2024,Base_Population!$B$2:$B$41,$A14)</f>
        <v>471250</v>
      </c>
      <c r="E14" s="6" t="n">
        <f aca="false">SUMIFS(Base_Population!$C$2:$C$41,Base_Population!$A$2:$A$41,2025,Base_Population!$B$2:$B$41,$A14)</f>
        <v>503800</v>
      </c>
      <c r="F14" s="6" t="n">
        <f aca="false">SUM(B14:E14)</f>
        <v>1731249</v>
      </c>
      <c r="G14" s="16" t="n">
        <f aca="false">F14/$F$24</f>
        <v>0.473680063235812</v>
      </c>
    </row>
    <row r="15" customFormat="false" ht="15" hidden="false" customHeight="false" outlineLevel="0" collapsed="false">
      <c r="A15" s="17" t="s">
        <v>21</v>
      </c>
      <c r="B15" s="11" t="n">
        <f aca="false">SUMIFS(Base_Population!$C$2:$C$41,Base_Population!$A$2:$A$41,2022,Base_Population!$B$2:$B$41,$A15)</f>
        <v>5852</v>
      </c>
      <c r="C15" s="11" t="n">
        <f aca="false">SUMIFS(Base_Population!$C$2:$C$41,Base_Population!$A$2:$A$41,2023,Base_Population!$B$2:$B$41,$A15)</f>
        <v>5095</v>
      </c>
      <c r="D15" s="11" t="n">
        <f aca="false">SUMIFS(Base_Population!$C$2:$C$41,Base_Population!$A$2:$A$41,2024,Base_Population!$B$2:$B$41,$A15)</f>
        <v>5238</v>
      </c>
      <c r="E15" s="11" t="n">
        <f aca="false">SUMIFS(Base_Population!$C$2:$C$41,Base_Population!$A$2:$A$41,2025,Base_Population!$B$2:$B$41,$A15)</f>
        <v>5485</v>
      </c>
      <c r="F15" s="11" t="n">
        <f aca="false">SUM(B15:E15)</f>
        <v>21670</v>
      </c>
      <c r="G15" s="18" t="n">
        <f aca="false">F15/$F$24</f>
        <v>0.00592904138591274</v>
      </c>
    </row>
    <row r="16" customFormat="false" ht="15" hidden="false" customHeight="false" outlineLevel="0" collapsed="false">
      <c r="A16" s="15" t="s">
        <v>22</v>
      </c>
      <c r="B16" s="6" t="n">
        <f aca="false">SUMIFS(Base_Population!$C$2:$C$41,Base_Population!$A$2:$A$41,2022,Base_Population!$B$2:$B$41,$A16)</f>
        <v>11062</v>
      </c>
      <c r="C16" s="6" t="n">
        <f aca="false">SUMIFS(Base_Population!$C$2:$C$41,Base_Population!$A$2:$A$41,2023,Base_Population!$B$2:$B$41,$A16)</f>
        <v>465</v>
      </c>
      <c r="D16" s="6" t="n">
        <f aca="false">SUMIFS(Base_Population!$C$2:$C$41,Base_Population!$A$2:$A$41,2024,Base_Population!$B$2:$B$41,$A16)</f>
        <v>1045</v>
      </c>
      <c r="E16" s="6" t="n">
        <f aca="false">SUMIFS(Base_Population!$C$2:$C$41,Base_Population!$A$2:$A$41,2025,Base_Population!$B$2:$B$41,$A16)</f>
        <v>1180</v>
      </c>
      <c r="F16" s="6" t="n">
        <f aca="false">SUM(B16:E16)</f>
        <v>13752</v>
      </c>
      <c r="G16" s="16" t="n">
        <f aca="false">F16/$F$24</f>
        <v>0.00376262930960185</v>
      </c>
    </row>
    <row r="17" customFormat="false" ht="15" hidden="false" customHeight="false" outlineLevel="0" collapsed="false">
      <c r="A17" s="17" t="s">
        <v>23</v>
      </c>
      <c r="B17" s="11" t="n">
        <f aca="false">SUMIFS(Base_Population!$C$2:$C$41,Base_Population!$A$2:$A$41,2022,Base_Population!$B$2:$B$41,$A17)</f>
        <v>3489</v>
      </c>
      <c r="C17" s="11" t="n">
        <f aca="false">SUMIFS(Base_Population!$C$2:$C$41,Base_Population!$A$2:$A$41,2023,Base_Population!$B$2:$B$41,$A17)</f>
        <v>887</v>
      </c>
      <c r="D17" s="11" t="n">
        <f aca="false">SUMIFS(Base_Population!$C$2:$C$41,Base_Population!$A$2:$A$41,2024,Base_Population!$B$2:$B$41,$A17)</f>
        <v>968</v>
      </c>
      <c r="E17" s="11" t="n">
        <f aca="false">SUMIFS(Base_Population!$C$2:$C$41,Base_Population!$A$2:$A$41,2025,Base_Population!$B$2:$B$41,$A17)</f>
        <v>1050</v>
      </c>
      <c r="F17" s="11" t="n">
        <f aca="false">SUM(B17:E17)</f>
        <v>6394</v>
      </c>
      <c r="G17" s="18" t="n">
        <f aca="false">F17/$F$24</f>
        <v>0.00174943657690476</v>
      </c>
    </row>
    <row r="18" customFormat="false" ht="15" hidden="false" customHeight="false" outlineLevel="0" collapsed="false">
      <c r="A18" s="15" t="s">
        <v>24</v>
      </c>
      <c r="B18" s="6" t="n">
        <f aca="false">SUMIFS(Base_Population!$C$2:$C$41,Base_Population!$A$2:$A$41,2022,Base_Population!$B$2:$B$41,$A18)</f>
        <v>406</v>
      </c>
      <c r="C18" s="6" t="n">
        <f aca="false">SUMIFS(Base_Population!$C$2:$C$41,Base_Population!$A$2:$A$41,2023,Base_Population!$B$2:$B$41,$A18)</f>
        <v>520</v>
      </c>
      <c r="D18" s="6" t="n">
        <f aca="false">SUMIFS(Base_Population!$C$2:$C$41,Base_Population!$A$2:$A$41,2024,Base_Population!$B$2:$B$41,$A18)</f>
        <v>720</v>
      </c>
      <c r="E18" s="6" t="n">
        <f aca="false">SUMIFS(Base_Population!$C$2:$C$41,Base_Population!$A$2:$A$41,2025,Base_Population!$B$2:$B$41,$A18)</f>
        <v>815</v>
      </c>
      <c r="F18" s="6" t="n">
        <f aca="false">SUM(B18:E18)</f>
        <v>2461</v>
      </c>
      <c r="G18" s="16" t="n">
        <f aca="false">F18/$F$24</f>
        <v>0.000673344293988521</v>
      </c>
    </row>
    <row r="19" customFormat="false" ht="15" hidden="false" customHeight="false" outlineLevel="0" collapsed="false">
      <c r="A19" s="17" t="s">
        <v>25</v>
      </c>
      <c r="B19" s="11" t="n">
        <f aca="false">SUMIFS(Base_Population!$C$2:$C$41,Base_Population!$A$2:$A$41,2022,Base_Population!$B$2:$B$41,$A19)</f>
        <v>6513</v>
      </c>
      <c r="C19" s="11" t="n">
        <f aca="false">SUMIFS(Base_Population!$C$2:$C$41,Base_Population!$A$2:$A$41,2023,Base_Population!$B$2:$B$41,$A19)</f>
        <v>640</v>
      </c>
      <c r="D19" s="11" t="n">
        <f aca="false">SUMIFS(Base_Population!$C$2:$C$41,Base_Population!$A$2:$A$41,2024,Base_Population!$B$2:$B$41,$A19)</f>
        <v>858</v>
      </c>
      <c r="E19" s="11" t="n">
        <f aca="false">SUMIFS(Base_Population!$C$2:$C$41,Base_Population!$A$2:$A$41,2025,Base_Population!$B$2:$B$41,$A19)</f>
        <v>930</v>
      </c>
      <c r="F19" s="11" t="n">
        <f aca="false">SUM(B19:E19)</f>
        <v>8941</v>
      </c>
      <c r="G19" s="18" t="n">
        <f aca="false">F19/$F$24</f>
        <v>0.00244631098437683</v>
      </c>
    </row>
    <row r="20" customFormat="false" ht="15" hidden="false" customHeight="false" outlineLevel="0" collapsed="false">
      <c r="A20" s="15" t="s">
        <v>26</v>
      </c>
      <c r="B20" s="6" t="n">
        <f aca="false">SUMIFS(Base_Population!$C$2:$C$41,Base_Population!$A$2:$A$41,2022,Base_Population!$B$2:$B$41,$A20)</f>
        <v>647</v>
      </c>
      <c r="C20" s="6" t="n">
        <f aca="false">SUMIFS(Base_Population!$C$2:$C$41,Base_Population!$A$2:$A$41,2023,Base_Population!$B$2:$B$41,$A20)</f>
        <v>371</v>
      </c>
      <c r="D20" s="6" t="n">
        <f aca="false">SUMIFS(Base_Population!$C$2:$C$41,Base_Population!$A$2:$A$41,2024,Base_Population!$B$2:$B$41,$A20)</f>
        <v>420</v>
      </c>
      <c r="E20" s="6" t="n">
        <f aca="false">SUMIFS(Base_Population!$C$2:$C$41,Base_Population!$A$2:$A$41,2025,Base_Population!$B$2:$B$41,$A20)</f>
        <v>480</v>
      </c>
      <c r="F20" s="6" t="n">
        <f aca="false">SUM(B20:E20)</f>
        <v>1918</v>
      </c>
      <c r="G20" s="16" t="n">
        <f aca="false">F20/$F$24</f>
        <v>0.000524776251877279</v>
      </c>
    </row>
    <row r="21" customFormat="false" ht="15" hidden="false" customHeight="false" outlineLevel="0" collapsed="false">
      <c r="A21" s="17" t="s">
        <v>27</v>
      </c>
      <c r="B21" s="11" t="n">
        <f aca="false">SUMIFS(Base_Population!$C$2:$C$41,Base_Population!$A$2:$A$41,2022,Base_Population!$B$2:$B$41,$A21)</f>
        <v>465</v>
      </c>
      <c r="C21" s="11" t="n">
        <f aca="false">SUMIFS(Base_Population!$C$2:$C$41,Base_Population!$A$2:$A$41,2023,Base_Population!$B$2:$B$41,$A21)</f>
        <v>754</v>
      </c>
      <c r="D21" s="11" t="n">
        <f aca="false">SUMIFS(Base_Population!$C$2:$C$41,Base_Population!$A$2:$A$41,2024,Base_Population!$B$2:$B$41,$A21)</f>
        <v>810</v>
      </c>
      <c r="E21" s="11" t="n">
        <f aca="false">SUMIFS(Base_Population!$C$2:$C$41,Base_Population!$A$2:$A$41,2025,Base_Population!$B$2:$B$41,$A21)</f>
        <v>890</v>
      </c>
      <c r="F21" s="11" t="n">
        <f aca="false">SUM(B21:E21)</f>
        <v>2919</v>
      </c>
      <c r="G21" s="18" t="n">
        <f aca="false">F21/$F$24</f>
        <v>0.000798655828586954</v>
      </c>
    </row>
    <row r="22" customFormat="false" ht="15" hidden="false" customHeight="false" outlineLevel="0" collapsed="false">
      <c r="A22" s="15" t="s">
        <v>28</v>
      </c>
      <c r="B22" s="6" t="n">
        <f aca="false">SUMIFS(Base_Population!$C$2:$C$41,Base_Population!$A$2:$A$41,2022,Base_Population!$B$2:$B$41,$A22)</f>
        <v>343687</v>
      </c>
      <c r="C22" s="6" t="n">
        <f aca="false">SUMIFS(Base_Population!$C$2:$C$41,Base_Population!$A$2:$A$41,2023,Base_Population!$B$2:$B$41,$A22)</f>
        <v>463025</v>
      </c>
      <c r="D22" s="6" t="n">
        <f aca="false">SUMIFS(Base_Population!$C$2:$C$41,Base_Population!$A$2:$A$41,2024,Base_Population!$B$2:$B$41,$A22)</f>
        <v>498320</v>
      </c>
      <c r="E22" s="6" t="n">
        <f aca="false">SUMIFS(Base_Population!$C$2:$C$41,Base_Population!$A$2:$A$41,2025,Base_Population!$B$2:$B$41,$A22)</f>
        <v>532100</v>
      </c>
      <c r="F22" s="6" t="n">
        <f aca="false">SUM(B22:E22)</f>
        <v>1837132</v>
      </c>
      <c r="G22" s="16" t="n">
        <f aca="false">F22/$F$24</f>
        <v>0.502650284235563</v>
      </c>
    </row>
    <row r="23" customFormat="false" ht="15" hidden="false" customHeight="false" outlineLevel="0" collapsed="false">
      <c r="A23" s="17" t="s">
        <v>29</v>
      </c>
      <c r="B23" s="11" t="n">
        <f aca="false">SUMIFS(Base_Population!$C$2:$C$41,Base_Population!$A$2:$A$41,2022,Base_Population!$B$2:$B$41,$A23)</f>
        <v>6152</v>
      </c>
      <c r="C23" s="11" t="n">
        <f aca="false">SUMIFS(Base_Population!$C$2:$C$41,Base_Population!$A$2:$A$41,2023,Base_Population!$B$2:$B$41,$A23)</f>
        <v>6988</v>
      </c>
      <c r="D23" s="11" t="n">
        <f aca="false">SUMIFS(Base_Population!$C$2:$C$41,Base_Population!$A$2:$A$41,2024,Base_Population!$B$2:$B$41,$A23)</f>
        <v>7420</v>
      </c>
      <c r="E23" s="11" t="n">
        <f aca="false">SUMIFS(Base_Population!$C$2:$C$41,Base_Population!$A$2:$A$41,2025,Base_Population!$B$2:$B$41,$A23)</f>
        <v>7895</v>
      </c>
      <c r="F23" s="11" t="n">
        <f aca="false">SUM(B23:E23)</f>
        <v>28455</v>
      </c>
      <c r="G23" s="18" t="n">
        <f aca="false">F23/$F$24</f>
        <v>0.00778545789737642</v>
      </c>
    </row>
    <row r="24" customFormat="false" ht="15" hidden="false" customHeight="false" outlineLevel="0" collapsed="false">
      <c r="A24" s="19" t="s">
        <v>30</v>
      </c>
      <c r="B24" s="20" t="n">
        <f aca="false">SUM(B14:B23)</f>
        <v>695672</v>
      </c>
      <c r="C24" s="20" t="n">
        <f aca="false">SUM(C14:C23)</f>
        <v>917545</v>
      </c>
      <c r="D24" s="20" t="n">
        <f aca="false">SUM(D14:D23)</f>
        <v>987049</v>
      </c>
      <c r="E24" s="20" t="n">
        <f aca="false">SUM(E14:E23)</f>
        <v>1054625</v>
      </c>
      <c r="F24" s="20" t="n">
        <f aca="false">SUM(F14:F23)</f>
        <v>3654891</v>
      </c>
      <c r="G24" s="21"/>
    </row>
    <row r="27" customFormat="false" ht="16.15" hidden="false" customHeight="false" outlineLevel="0" collapsed="false">
      <c r="A27" s="3" t="s">
        <v>31</v>
      </c>
      <c r="B27" s="3"/>
      <c r="C27" s="3"/>
      <c r="D27" s="3"/>
      <c r="E27" s="3"/>
      <c r="F27" s="3"/>
    </row>
    <row r="28" customFormat="false" ht="15" hidden="false" customHeight="false" outlineLevel="0" collapsed="false">
      <c r="A28" s="4" t="s">
        <v>13</v>
      </c>
      <c r="B28" s="4" t="s">
        <v>14</v>
      </c>
      <c r="C28" s="4" t="s">
        <v>15</v>
      </c>
      <c r="D28" s="4" t="s">
        <v>16</v>
      </c>
      <c r="E28" s="4" t="s">
        <v>17</v>
      </c>
      <c r="F28" s="4" t="s">
        <v>18</v>
      </c>
      <c r="G28" s="4" t="s">
        <v>19</v>
      </c>
    </row>
    <row r="29" customFormat="false" ht="15" hidden="false" customHeight="false" outlineLevel="0" collapsed="false">
      <c r="A29" s="17" t="s">
        <v>20</v>
      </c>
      <c r="B29" s="12" t="n">
        <f aca="false">SUMIFS(Base_Population!$E$2:$E$41,Base_Population!$A$2:$A$41,2022,Base_Population!$B$2:$B$41,$A29)</f>
        <v>210210461.41</v>
      </c>
      <c r="C29" s="12" t="n">
        <f aca="false">SUMIFS(Base_Population!$E$2:$E$41,Base_Population!$A$2:$A$41,2023,Base_Population!$B$2:$B$41,$A29)</f>
        <v>330283227.08</v>
      </c>
      <c r="D29" s="12" t="n">
        <f aca="false">SUMIFS(Base_Population!$E$2:$E$41,Base_Population!$A$2:$A$41,2024,Base_Population!$B$2:$B$41,$A29)</f>
        <v>372618500</v>
      </c>
      <c r="E29" s="12" t="n">
        <f aca="false">SUMIFS(Base_Population!$E$2:$E$41,Base_Population!$A$2:$A$41,2025,Base_Population!$B$2:$B$41,$A29)</f>
        <v>425282500</v>
      </c>
      <c r="F29" s="12" t="n">
        <f aca="false">SUM(B29:E29)</f>
        <v>1338394688.49</v>
      </c>
      <c r="G29" s="18" t="n">
        <f aca="false">F29/$F$39</f>
        <v>0.462282193405605</v>
      </c>
    </row>
    <row r="30" customFormat="false" ht="15" hidden="false" customHeight="false" outlineLevel="0" collapsed="false">
      <c r="A30" s="15" t="s">
        <v>21</v>
      </c>
      <c r="B30" s="7" t="n">
        <f aca="false">SUMIFS(Base_Population!$E$2:$E$41,Base_Population!$A$2:$A$41,2022,Base_Population!$B$2:$B$41,$A30)</f>
        <v>3629802.84</v>
      </c>
      <c r="C30" s="7" t="n">
        <f aca="false">SUMIFS(Base_Population!$E$2:$E$41,Base_Population!$A$2:$A$41,2023,Base_Population!$B$2:$B$41,$A30)</f>
        <v>3433842.81</v>
      </c>
      <c r="D30" s="7" t="n">
        <f aca="false">SUMIFS(Base_Population!$E$2:$E$41,Base_Population!$A$2:$A$41,2024,Base_Population!$B$2:$B$41,$A30)</f>
        <v>3624880</v>
      </c>
      <c r="E30" s="7" t="n">
        <f aca="false">SUMIFS(Base_Population!$E$2:$E$41,Base_Population!$A$2:$A$41,2025,Base_Population!$B$2:$B$41,$A30)</f>
        <v>3928050</v>
      </c>
      <c r="F30" s="7" t="n">
        <f aca="false">SUM(B30:E30)</f>
        <v>14616575.65</v>
      </c>
      <c r="G30" s="16" t="n">
        <f aca="false">F30/$F$39</f>
        <v>0.00504857252473431</v>
      </c>
    </row>
    <row r="31" customFormat="false" ht="15" hidden="false" customHeight="false" outlineLevel="0" collapsed="false">
      <c r="A31" s="17" t="s">
        <v>22</v>
      </c>
      <c r="B31" s="12" t="n">
        <f aca="false">SUMIFS(Base_Population!$E$2:$E$41,Base_Population!$A$2:$A$41,2022,Base_Population!$B$2:$B$41,$A31)</f>
        <v>10232318.25</v>
      </c>
      <c r="C31" s="12" t="n">
        <f aca="false">SUMIFS(Base_Population!$E$2:$E$41,Base_Population!$A$2:$A$41,2023,Base_Population!$B$2:$B$41,$A31)</f>
        <v>330006.17</v>
      </c>
      <c r="D31" s="12" t="n">
        <f aca="false">SUMIFS(Base_Population!$E$2:$E$41,Base_Population!$A$2:$A$41,2024,Base_Population!$B$2:$B$41,$A31)</f>
        <v>769290</v>
      </c>
      <c r="E31" s="12" t="n">
        <f aca="false">SUMIFS(Base_Population!$E$2:$E$41,Base_Population!$A$2:$A$41,2025,Base_Population!$B$2:$B$41,$A31)</f>
        <v>893520</v>
      </c>
      <c r="F31" s="12" t="n">
        <f aca="false">SUM(B31:E31)</f>
        <v>12225134.42</v>
      </c>
      <c r="G31" s="18" t="n">
        <f aca="false">F31/$F$39</f>
        <v>0.00422256753030904</v>
      </c>
    </row>
    <row r="32" customFormat="false" ht="15" hidden="false" customHeight="false" outlineLevel="0" collapsed="false">
      <c r="A32" s="15" t="s">
        <v>23</v>
      </c>
      <c r="B32" s="7" t="n">
        <f aca="false">SUMIFS(Base_Population!$E$2:$E$41,Base_Population!$A$2:$A$41,2022,Base_Population!$B$2:$B$41,$A32)</f>
        <v>3090702.74</v>
      </c>
      <c r="C32" s="7" t="n">
        <f aca="false">SUMIFS(Base_Population!$E$2:$E$41,Base_Population!$A$2:$A$41,2023,Base_Population!$B$2:$B$41,$A32)</f>
        <v>595618.94</v>
      </c>
      <c r="D32" s="7" t="n">
        <f aca="false">SUMIFS(Base_Population!$E$2:$E$41,Base_Population!$A$2:$A$41,2024,Base_Population!$B$2:$B$41,$A32)</f>
        <v>701250</v>
      </c>
      <c r="E32" s="7" t="n">
        <f aca="false">SUMIFS(Base_Population!$E$2:$E$41,Base_Population!$A$2:$A$41,2025,Base_Population!$B$2:$B$41,$A32)</f>
        <v>781800</v>
      </c>
      <c r="F32" s="7" t="n">
        <f aca="false">SUM(B32:E32)</f>
        <v>5169371.68</v>
      </c>
      <c r="G32" s="16" t="n">
        <f aca="false">F32/$F$39</f>
        <v>0.00178550355833773</v>
      </c>
    </row>
    <row r="33" customFormat="false" ht="15" hidden="false" customHeight="false" outlineLevel="0" collapsed="false">
      <c r="A33" s="17" t="s">
        <v>24</v>
      </c>
      <c r="B33" s="12" t="n">
        <f aca="false">SUMIFS(Base_Population!$E$2:$E$41,Base_Population!$A$2:$A$41,2022,Base_Population!$B$2:$B$41,$A33)</f>
        <v>364649.73</v>
      </c>
      <c r="C33" s="12" t="n">
        <f aca="false">SUMIFS(Base_Population!$E$2:$E$41,Base_Population!$A$2:$A$41,2023,Base_Population!$B$2:$B$41,$A33)</f>
        <v>355201</v>
      </c>
      <c r="D33" s="12" t="n">
        <f aca="false">SUMIFS(Base_Population!$E$2:$E$41,Base_Population!$A$2:$A$41,2024,Base_Population!$B$2:$B$41,$A33)</f>
        <v>515780</v>
      </c>
      <c r="E33" s="12" t="n">
        <f aca="false">SUMIFS(Base_Population!$E$2:$E$41,Base_Population!$A$2:$A$41,2025,Base_Population!$B$2:$B$41,$A33)</f>
        <v>597450</v>
      </c>
      <c r="F33" s="12" t="n">
        <f aca="false">SUM(B33:E33)</f>
        <v>1833080.73</v>
      </c>
      <c r="G33" s="18" t="n">
        <f aca="false">F33/$F$39</f>
        <v>0.000633146999044056</v>
      </c>
    </row>
    <row r="34" customFormat="false" ht="15" hidden="false" customHeight="false" outlineLevel="0" collapsed="false">
      <c r="A34" s="15" t="s">
        <v>25</v>
      </c>
      <c r="B34" s="7" t="n">
        <f aca="false">SUMIFS(Base_Population!$E$2:$E$41,Base_Population!$A$2:$A$41,2022,Base_Population!$B$2:$B$41,$A34)</f>
        <v>5324705.12</v>
      </c>
      <c r="C34" s="7" t="n">
        <f aca="false">SUMIFS(Base_Population!$E$2:$E$41,Base_Population!$A$2:$A$41,2023,Base_Population!$B$2:$B$41,$A34)</f>
        <v>428810</v>
      </c>
      <c r="D34" s="7" t="n">
        <f aca="false">SUMIFS(Base_Population!$E$2:$E$41,Base_Population!$A$2:$A$41,2024,Base_Population!$B$2:$B$41,$A34)</f>
        <v>604550</v>
      </c>
      <c r="E34" s="7" t="n">
        <f aca="false">SUMIFS(Base_Population!$E$2:$E$41,Base_Population!$A$2:$A$41,2025,Base_Population!$B$2:$B$41,$A34)</f>
        <v>667890</v>
      </c>
      <c r="F34" s="7" t="n">
        <f aca="false">SUM(B34:E34)</f>
        <v>7025955.12</v>
      </c>
      <c r="G34" s="16" t="n">
        <f aca="false">F34/$F$39</f>
        <v>0.00242676840514614</v>
      </c>
    </row>
    <row r="35" customFormat="false" ht="15" hidden="false" customHeight="false" outlineLevel="0" collapsed="false">
      <c r="A35" s="17" t="s">
        <v>26</v>
      </c>
      <c r="B35" s="12" t="n">
        <f aca="false">SUMIFS(Base_Population!$E$2:$E$41,Base_Population!$A$2:$A$41,2022,Base_Population!$B$2:$B$41,$A35)</f>
        <v>444001.21</v>
      </c>
      <c r="C35" s="12" t="n">
        <f aca="false">SUMIFS(Base_Population!$E$2:$E$41,Base_Population!$A$2:$A$41,2023,Base_Population!$B$2:$B$41,$A35)</f>
        <v>235937.02</v>
      </c>
      <c r="D35" s="12" t="n">
        <f aca="false">SUMIFS(Base_Population!$E$2:$E$41,Base_Population!$A$2:$A$41,2024,Base_Population!$B$2:$B$41,$A35)</f>
        <v>267420</v>
      </c>
      <c r="E35" s="12" t="n">
        <f aca="false">SUMIFS(Base_Population!$E$2:$E$41,Base_Population!$A$2:$A$41,2025,Base_Population!$B$2:$B$41,$A35)</f>
        <v>312780</v>
      </c>
      <c r="F35" s="12" t="n">
        <f aca="false">SUM(B35:E35)</f>
        <v>1260138.23</v>
      </c>
      <c r="G35" s="18" t="n">
        <f aca="false">F35/$F$39</f>
        <v>0.000435252373584871</v>
      </c>
    </row>
    <row r="36" customFormat="false" ht="15" hidden="false" customHeight="false" outlineLevel="0" collapsed="false">
      <c r="A36" s="15" t="s">
        <v>27</v>
      </c>
      <c r="B36" s="7" t="n">
        <f aca="false">SUMIFS(Base_Population!$E$2:$E$41,Base_Population!$A$2:$A$41,2022,Base_Population!$B$2:$B$41,$A36)</f>
        <v>320143.94</v>
      </c>
      <c r="C36" s="7" t="n">
        <f aca="false">SUMIFS(Base_Population!$E$2:$E$41,Base_Population!$A$2:$A$41,2023,Base_Population!$B$2:$B$41,$A36)</f>
        <v>486715.31</v>
      </c>
      <c r="D36" s="7" t="n">
        <f aca="false">SUMIFS(Base_Population!$E$2:$E$41,Base_Population!$A$2:$A$41,2024,Base_Population!$B$2:$B$41,$A36)</f>
        <v>523880</v>
      </c>
      <c r="E36" s="7" t="n">
        <f aca="false">SUMIFS(Base_Population!$E$2:$E$41,Base_Population!$A$2:$A$41,2025,Base_Population!$B$2:$B$41,$A36)</f>
        <v>588060</v>
      </c>
      <c r="F36" s="7" t="n">
        <f aca="false">SUM(B36:E36)</f>
        <v>1918799.25</v>
      </c>
      <c r="G36" s="16" t="n">
        <f aca="false">F36/$F$39</f>
        <v>0.000662754218634705</v>
      </c>
    </row>
    <row r="37" customFormat="false" ht="15" hidden="false" customHeight="false" outlineLevel="0" collapsed="false">
      <c r="A37" s="17" t="s">
        <v>28</v>
      </c>
      <c r="B37" s="12" t="n">
        <f aca="false">SUMIFS(Base_Population!$E$2:$E$41,Base_Population!$A$2:$A$41,2022,Base_Population!$B$2:$B$41,$A37)</f>
        <v>242273855.8</v>
      </c>
      <c r="C37" s="12" t="n">
        <f aca="false">SUMIFS(Base_Population!$E$2:$E$41,Base_Population!$A$2:$A$41,2023,Base_Population!$B$2:$B$41,$A37)</f>
        <v>369244285.71</v>
      </c>
      <c r="D37" s="12" t="n">
        <f aca="false">SUMIFS(Base_Population!$E$2:$E$41,Base_Population!$A$2:$A$41,2024,Base_Population!$B$2:$B$41,$A37)</f>
        <v>416891250</v>
      </c>
      <c r="E37" s="12" t="n">
        <f aca="false">SUMIFS(Base_Population!$E$2:$E$41,Base_Population!$A$2:$A$41,2025,Base_Population!$B$2:$B$41,$A37)</f>
        <v>465830000</v>
      </c>
      <c r="F37" s="12" t="n">
        <f aca="false">SUM(B37:E37)</f>
        <v>1494239391.51</v>
      </c>
      <c r="G37" s="18" t="n">
        <f aca="false">F37/$F$39</f>
        <v>0.516111031611779</v>
      </c>
    </row>
    <row r="38" customFormat="false" ht="15" hidden="false" customHeight="false" outlineLevel="0" collapsed="false">
      <c r="A38" s="15" t="s">
        <v>29</v>
      </c>
      <c r="B38" s="7" t="n">
        <f aca="false">SUMIFS(Base_Population!$E$2:$E$41,Base_Population!$A$2:$A$41,2022,Base_Population!$B$2:$B$41,$A38)</f>
        <v>3808730.44</v>
      </c>
      <c r="C38" s="7" t="n">
        <f aca="false">SUMIFS(Base_Population!$E$2:$E$41,Base_Population!$A$2:$A$41,2023,Base_Population!$B$2:$B$41,$A38)</f>
        <v>4467208.9</v>
      </c>
      <c r="D38" s="7" t="n">
        <f aca="false">SUMIFS(Base_Population!$E$2:$E$41,Base_Population!$A$2:$A$41,2024,Base_Population!$B$2:$B$41,$A38)</f>
        <v>4891800</v>
      </c>
      <c r="E38" s="7" t="n">
        <f aca="false">SUMIFS(Base_Population!$E$2:$E$41,Base_Population!$A$2:$A$41,2025,Base_Population!$B$2:$B$41,$A38)</f>
        <v>5338920</v>
      </c>
      <c r="F38" s="7" t="n">
        <f aca="false">SUM(B38:E38)</f>
        <v>18506659.34</v>
      </c>
      <c r="G38" s="16" t="n">
        <f aca="false">F38/$F$39</f>
        <v>0.00639220937282541</v>
      </c>
    </row>
    <row r="39" customFormat="false" ht="15" hidden="false" customHeight="false" outlineLevel="0" collapsed="false">
      <c r="A39" s="19" t="s">
        <v>30</v>
      </c>
      <c r="B39" s="22" t="n">
        <f aca="false">SUM(B29:B38)</f>
        <v>479699371.48</v>
      </c>
      <c r="C39" s="22" t="n">
        <f aca="false">SUM(C29:C38)</f>
        <v>709860852.94</v>
      </c>
      <c r="D39" s="22" t="n">
        <f aca="false">SUM(D29:D38)</f>
        <v>801408600</v>
      </c>
      <c r="E39" s="22" t="n">
        <f aca="false">SUM(E29:E38)</f>
        <v>904220970</v>
      </c>
      <c r="F39" s="22" t="n">
        <f aca="false">SUM(F29:F38)</f>
        <v>2895189794.42</v>
      </c>
      <c r="G39" s="21"/>
    </row>
    <row r="42" customFormat="false" ht="16.15" hidden="false" customHeight="false" outlineLevel="0" collapsed="false">
      <c r="A42" s="3" t="s">
        <v>32</v>
      </c>
      <c r="B42" s="3"/>
      <c r="C42" s="3"/>
      <c r="D42" s="3"/>
      <c r="E42" s="3"/>
      <c r="F42" s="3"/>
    </row>
    <row r="43" customFormat="false" ht="15" hidden="false" customHeight="false" outlineLevel="0" collapsed="false">
      <c r="A43" s="23" t="s">
        <v>33</v>
      </c>
    </row>
    <row r="44" customFormat="false" ht="15" hidden="false" customHeight="false" outlineLevel="0" collapsed="false">
      <c r="A44" s="4" t="s">
        <v>13</v>
      </c>
      <c r="B44" s="4" t="s">
        <v>14</v>
      </c>
      <c r="C44" s="4" t="s">
        <v>15</v>
      </c>
      <c r="D44" s="4" t="s">
        <v>16</v>
      </c>
      <c r="E44" s="4" t="s">
        <v>17</v>
      </c>
    </row>
    <row r="45" customFormat="false" ht="15" hidden="false" customHeight="false" outlineLevel="0" collapsed="false">
      <c r="A45" s="17" t="s">
        <v>20</v>
      </c>
      <c r="B45" s="13" t="n">
        <f aca="false">IFERROR(SUMIFS(Base_Population!$F$2:$F$41,Base_Population!$A$2:$A$41,2022,Base_Population!$B$2:$B$41,$A45)/SUMIFS(Base_Population!$C$2:$C$41,Base_Population!$A$2:$A$41,2022,Base_Population!$B$2:$B$41,$A45)*SUMIFS(Base_Population!$C$2:$C$41,Base_Population!$A$2:$A$41,2022,Base_Population!$B$2:$B$41,$A45),"")</f>
        <v>1.0101</v>
      </c>
      <c r="C45" s="13" t="n">
        <f aca="false">IFERROR(SUMIFS(Base_Population!$F$2:$F$41,Base_Population!$A$2:$A$41,2023,Base_Population!$B$2:$B$41,$A45)/SUMIFS(Base_Population!$C$2:$C$41,Base_Population!$A$2:$A$41,2023,Base_Population!$B$2:$B$41,$A45)*SUMIFS(Base_Population!$C$2:$C$41,Base_Population!$A$2:$A$41,2023,Base_Population!$B$2:$B$41,$A45),"")</f>
        <v>1.0521</v>
      </c>
      <c r="D45" s="13" t="n">
        <f aca="false">IFERROR(SUMIFS(Base_Population!$F$2:$F$41,Base_Population!$A$2:$A$41,2024,Base_Population!$B$2:$B$41,$A45)/SUMIFS(Base_Population!$C$2:$C$41,Base_Population!$A$2:$A$41,2024,Base_Population!$B$2:$B$41,$A45)*SUMIFS(Base_Population!$C$2:$C$41,Base_Population!$A$2:$A$41,2024,Base_Population!$B$2:$B$41,$A45),"")</f>
        <v>1.0705</v>
      </c>
      <c r="E45" s="13" t="n">
        <f aca="false">IFERROR(SUMIFS(Base_Population!$F$2:$F$41,Base_Population!$A$2:$A$41,2025,Base_Population!$B$2:$B$41,$A45)/SUMIFS(Base_Population!$C$2:$C$41,Base_Population!$A$2:$A$41,2025,Base_Population!$B$2:$B$41,$A45)*SUMIFS(Base_Population!$C$2:$C$41,Base_Population!$A$2:$A$41,2025,Base_Population!$B$2:$B$41,$A45),"")</f>
        <v>1.0895</v>
      </c>
    </row>
    <row r="46" customFormat="false" ht="15" hidden="false" customHeight="false" outlineLevel="0" collapsed="false">
      <c r="A46" s="15" t="s">
        <v>21</v>
      </c>
      <c r="B46" s="8" t="n">
        <f aca="false">IFERROR(SUMIFS(Base_Population!$F$2:$F$41,Base_Population!$A$2:$A$41,2022,Base_Population!$B$2:$B$41,$A46)/SUMIFS(Base_Population!$C$2:$C$41,Base_Population!$A$2:$A$41,2022,Base_Population!$B$2:$B$41,$A46)*SUMIFS(Base_Population!$C$2:$C$41,Base_Population!$A$2:$A$41,2022,Base_Population!$B$2:$B$41,$A46),"")</f>
        <v>1.0348</v>
      </c>
      <c r="C46" s="8" t="n">
        <f aca="false">IFERROR(SUMIFS(Base_Population!$F$2:$F$41,Base_Population!$A$2:$A$41,2023,Base_Population!$B$2:$B$41,$A46)/SUMIFS(Base_Population!$C$2:$C$41,Base_Population!$A$2:$A$41,2023,Base_Population!$B$2:$B$41,$A46)*SUMIFS(Base_Population!$C$2:$C$41,Base_Population!$A$2:$A$41,2023,Base_Population!$B$2:$B$41,$A46),"")</f>
        <v>1.0737</v>
      </c>
      <c r="D46" s="8" t="n">
        <f aca="false">IFERROR(SUMIFS(Base_Population!$F$2:$F$41,Base_Population!$A$2:$A$41,2024,Base_Population!$B$2:$B$41,$A46)/SUMIFS(Base_Population!$C$2:$C$41,Base_Population!$A$2:$A$41,2024,Base_Population!$B$2:$B$41,$A46)*SUMIFS(Base_Population!$C$2:$C$41,Base_Population!$A$2:$A$41,2024,Base_Population!$B$2:$B$41,$A46),"")</f>
        <v>1.082</v>
      </c>
      <c r="E46" s="8" t="n">
        <f aca="false">IFERROR(SUMIFS(Base_Population!$F$2:$F$41,Base_Population!$A$2:$A$41,2025,Base_Population!$B$2:$B$41,$A46)/SUMIFS(Base_Population!$C$2:$C$41,Base_Population!$A$2:$A$41,2025,Base_Population!$B$2:$B$41,$A46)*SUMIFS(Base_Population!$C$2:$C$41,Base_Population!$A$2:$A$41,2025,Base_Population!$B$2:$B$41,$A46),"")</f>
        <v>1.0985</v>
      </c>
    </row>
    <row r="47" customFormat="false" ht="15" hidden="false" customHeight="false" outlineLevel="0" collapsed="false">
      <c r="A47" s="17" t="s">
        <v>22</v>
      </c>
      <c r="B47" s="13" t="n">
        <f aca="false">IFERROR(SUMIFS(Base_Population!$F$2:$F$41,Base_Population!$A$2:$A$41,2022,Base_Population!$B$2:$B$41,$A47)/SUMIFS(Base_Population!$C$2:$C$41,Base_Population!$A$2:$A$41,2022,Base_Population!$B$2:$B$41,$A47)*SUMIFS(Base_Population!$C$2:$C$41,Base_Population!$A$2:$A$41,2022,Base_Population!$B$2:$B$41,$A47),"")</f>
        <v>0.98</v>
      </c>
      <c r="C47" s="13" t="n">
        <f aca="false">IFERROR(SUMIFS(Base_Population!$F$2:$F$41,Base_Population!$A$2:$A$41,2023,Base_Population!$B$2:$B$41,$A47)/SUMIFS(Base_Population!$C$2:$C$41,Base_Population!$A$2:$A$41,2023,Base_Population!$B$2:$B$41,$A47)*SUMIFS(Base_Population!$C$2:$C$41,Base_Population!$A$2:$A$41,2023,Base_Population!$B$2:$B$41,$A47),"")</f>
        <v>1.0851</v>
      </c>
      <c r="D47" s="13" t="n">
        <f aca="false">IFERROR(SUMIFS(Base_Population!$F$2:$F$41,Base_Population!$A$2:$A$41,2024,Base_Population!$B$2:$B$41,$A47)/SUMIFS(Base_Population!$C$2:$C$41,Base_Population!$A$2:$A$41,2024,Base_Population!$B$2:$B$41,$A47)*SUMIFS(Base_Population!$C$2:$C$41,Base_Population!$A$2:$A$41,2024,Base_Population!$B$2:$B$41,$A47),"")</f>
        <v>1.0733</v>
      </c>
      <c r="E47" s="13" t="n">
        <f aca="false">IFERROR(SUMIFS(Base_Population!$F$2:$F$41,Base_Population!$A$2:$A$41,2025,Base_Population!$B$2:$B$41,$A47)/SUMIFS(Base_Population!$C$2:$C$41,Base_Population!$A$2:$A$41,2025,Base_Population!$B$2:$B$41,$A47)*SUMIFS(Base_Population!$C$2:$C$41,Base_Population!$A$2:$A$41,2025,Base_Population!$B$2:$B$41,$A47),"")</f>
        <v>1.0912</v>
      </c>
    </row>
    <row r="48" customFormat="false" ht="15" hidden="false" customHeight="false" outlineLevel="0" collapsed="false">
      <c r="A48" s="15" t="s">
        <v>23</v>
      </c>
      <c r="B48" s="8" t="n">
        <f aca="false">IFERROR(SUMIFS(Base_Population!$F$2:$F$41,Base_Population!$A$2:$A$41,2022,Base_Population!$B$2:$B$41,$A48)/SUMIFS(Base_Population!$C$2:$C$41,Base_Population!$A$2:$A$41,2022,Base_Population!$B$2:$B$41,$A48)*SUMIFS(Base_Population!$C$2:$C$41,Base_Population!$A$2:$A$41,2022,Base_Population!$B$2:$B$41,$A48),"")</f>
        <v>0.97</v>
      </c>
      <c r="C48" s="8" t="n">
        <f aca="false">IFERROR(SUMIFS(Base_Population!$F$2:$F$41,Base_Population!$A$2:$A$41,2023,Base_Population!$B$2:$B$41,$A48)/SUMIFS(Base_Population!$C$2:$C$41,Base_Population!$A$2:$A$41,2023,Base_Population!$B$2:$B$41,$A48)*SUMIFS(Base_Population!$C$2:$C$41,Base_Population!$A$2:$A$41,2023,Base_Population!$B$2:$B$41,$A48),"")</f>
        <v>1.0782</v>
      </c>
      <c r="D48" s="8" t="n">
        <f aca="false">IFERROR(SUMIFS(Base_Population!$F$2:$F$41,Base_Population!$A$2:$A$41,2024,Base_Population!$B$2:$B$41,$A48)/SUMIFS(Base_Population!$C$2:$C$41,Base_Population!$A$2:$A$41,2024,Base_Population!$B$2:$B$41,$A48)*SUMIFS(Base_Population!$C$2:$C$41,Base_Population!$A$2:$A$41,2024,Base_Population!$B$2:$B$41,$A48),"")</f>
        <v>1.0654</v>
      </c>
      <c r="E48" s="8" t="n">
        <f aca="false">IFERROR(SUMIFS(Base_Population!$F$2:$F$41,Base_Population!$A$2:$A$41,2025,Base_Population!$B$2:$B$41,$A48)/SUMIFS(Base_Population!$C$2:$C$41,Base_Population!$A$2:$A$41,2025,Base_Population!$B$2:$B$41,$A48)*SUMIFS(Base_Population!$C$2:$C$41,Base_Population!$A$2:$A$41,2025,Base_Population!$B$2:$B$41,$A48),"")</f>
        <v>1.0825</v>
      </c>
    </row>
    <row r="49" customFormat="false" ht="15" hidden="false" customHeight="false" outlineLevel="0" collapsed="false">
      <c r="A49" s="17" t="s">
        <v>24</v>
      </c>
      <c r="B49" s="13" t="n">
        <f aca="false">IFERROR(SUMIFS(Base_Population!$F$2:$F$41,Base_Population!$A$2:$A$41,2022,Base_Population!$B$2:$B$41,$A49)/SUMIFS(Base_Population!$C$2:$C$41,Base_Population!$A$2:$A$41,2022,Base_Population!$B$2:$B$41,$A49)*SUMIFS(Base_Population!$C$2:$C$41,Base_Population!$A$2:$A$41,2022,Base_Population!$B$2:$B$41,$A49),"")</f>
        <v>0.96</v>
      </c>
      <c r="C49" s="13" t="n">
        <f aca="false">IFERROR(SUMIFS(Base_Population!$F$2:$F$41,Base_Population!$A$2:$A$41,2023,Base_Population!$B$2:$B$41,$A49)/SUMIFS(Base_Population!$C$2:$C$41,Base_Population!$A$2:$A$41,2023,Base_Population!$B$2:$B$41,$A49)*SUMIFS(Base_Population!$C$2:$C$41,Base_Population!$A$2:$A$41,2023,Base_Population!$B$2:$B$41,$A49),"")</f>
        <v>1.0612</v>
      </c>
      <c r="D49" s="13" t="n">
        <f aca="false">IFERROR(SUMIFS(Base_Population!$F$2:$F$41,Base_Population!$A$2:$A$41,2024,Base_Population!$B$2:$B$41,$A49)/SUMIFS(Base_Population!$C$2:$C$41,Base_Population!$A$2:$A$41,2024,Base_Population!$B$2:$B$41,$A49)*SUMIFS(Base_Population!$C$2:$C$41,Base_Population!$A$2:$A$41,2024,Base_Population!$B$2:$B$41,$A49),"")</f>
        <v>1.058</v>
      </c>
      <c r="E49" s="13" t="n">
        <f aca="false">IFERROR(SUMIFS(Base_Population!$F$2:$F$41,Base_Population!$A$2:$A$41,2025,Base_Population!$B$2:$B$41,$A49)/SUMIFS(Base_Population!$C$2:$C$41,Base_Population!$A$2:$A$41,2025,Base_Population!$B$2:$B$41,$A49)*SUMIFS(Base_Population!$C$2:$C$41,Base_Population!$A$2:$A$41,2025,Base_Population!$B$2:$B$41,$A49),"")</f>
        <v>1.0745</v>
      </c>
    </row>
    <row r="50" customFormat="false" ht="15" hidden="false" customHeight="false" outlineLevel="0" collapsed="false">
      <c r="A50" s="15" t="s">
        <v>25</v>
      </c>
      <c r="B50" s="8" t="n">
        <f aca="false">IFERROR(SUMIFS(Base_Population!$F$2:$F$41,Base_Population!$A$2:$A$41,2022,Base_Population!$B$2:$B$41,$A50)/SUMIFS(Base_Population!$C$2:$C$41,Base_Population!$A$2:$A$41,2022,Base_Population!$B$2:$B$41,$A50)*SUMIFS(Base_Population!$C$2:$C$41,Base_Population!$A$2:$A$41,2022,Base_Population!$B$2:$B$41,$A50),"")</f>
        <v>0.93</v>
      </c>
      <c r="C50" s="8" t="n">
        <f aca="false">IFERROR(SUMIFS(Base_Population!$F$2:$F$41,Base_Population!$A$2:$A$41,2023,Base_Population!$B$2:$B$41,$A50)/SUMIFS(Base_Population!$C$2:$C$41,Base_Population!$A$2:$A$41,2023,Base_Population!$B$2:$B$41,$A50)*SUMIFS(Base_Population!$C$2:$C$41,Base_Population!$A$2:$A$41,2023,Base_Population!$B$2:$B$41,$A50),"")</f>
        <v>1.0495</v>
      </c>
      <c r="D50" s="8" t="n">
        <f aca="false">IFERROR(SUMIFS(Base_Population!$F$2:$F$41,Base_Population!$A$2:$A$41,2024,Base_Population!$B$2:$B$41,$A50)/SUMIFS(Base_Population!$C$2:$C$41,Base_Population!$A$2:$A$41,2024,Base_Population!$B$2:$B$41,$A50)*SUMIFS(Base_Population!$C$2:$C$41,Base_Population!$A$2:$A$41,2024,Base_Population!$B$2:$B$41,$A50),"")</f>
        <v>1.048</v>
      </c>
      <c r="E50" s="8" t="n">
        <f aca="false">IFERROR(SUMIFS(Base_Population!$F$2:$F$41,Base_Population!$A$2:$A$41,2025,Base_Population!$B$2:$B$41,$A50)/SUMIFS(Base_Population!$C$2:$C$41,Base_Population!$A$2:$A$41,2025,Base_Population!$B$2:$B$41,$A50)*SUMIFS(Base_Population!$C$2:$C$41,Base_Population!$A$2:$A$41,2025,Base_Population!$B$2:$B$41,$A50),"")</f>
        <v>1.064</v>
      </c>
    </row>
    <row r="51" customFormat="false" ht="15" hidden="false" customHeight="false" outlineLevel="0" collapsed="false">
      <c r="A51" s="17" t="s">
        <v>26</v>
      </c>
      <c r="B51" s="13" t="n">
        <f aca="false">IFERROR(SUMIFS(Base_Population!$F$2:$F$41,Base_Population!$A$2:$A$41,2022,Base_Population!$B$2:$B$41,$A51)/SUMIFS(Base_Population!$C$2:$C$41,Base_Population!$A$2:$A$41,2022,Base_Population!$B$2:$B$41,$A51)*SUMIFS(Base_Population!$C$2:$C$41,Base_Population!$A$2:$A$41,2022,Base_Population!$B$2:$B$41,$A51),"")</f>
        <v>1.0079</v>
      </c>
      <c r="C51" s="13" t="n">
        <f aca="false">IFERROR(SUMIFS(Base_Population!$F$2:$F$41,Base_Population!$A$2:$A$41,2023,Base_Population!$B$2:$B$41,$A51)/SUMIFS(Base_Population!$C$2:$C$41,Base_Population!$A$2:$A$41,2023,Base_Population!$B$2:$B$41,$A51)*SUMIFS(Base_Population!$C$2:$C$41,Base_Population!$A$2:$A$41,2023,Base_Population!$B$2:$B$41,$A51),"")</f>
        <v>1.0751</v>
      </c>
      <c r="D51" s="13" t="n">
        <f aca="false">IFERROR(SUMIFS(Base_Population!$F$2:$F$41,Base_Population!$A$2:$A$41,2024,Base_Population!$B$2:$B$41,$A51)/SUMIFS(Base_Population!$C$2:$C$41,Base_Population!$A$2:$A$41,2024,Base_Population!$B$2:$B$41,$A51)*SUMIFS(Base_Population!$C$2:$C$41,Base_Population!$A$2:$A$41,2024,Base_Population!$B$2:$B$41,$A51),"")</f>
        <v>1.081</v>
      </c>
      <c r="E51" s="13" t="n">
        <f aca="false">IFERROR(SUMIFS(Base_Population!$F$2:$F$41,Base_Population!$A$2:$A$41,2025,Base_Population!$B$2:$B$41,$A51)/SUMIFS(Base_Population!$C$2:$C$41,Base_Population!$A$2:$A$41,2025,Base_Population!$B$2:$B$41,$A51)*SUMIFS(Base_Population!$C$2:$C$41,Base_Population!$A$2:$A$41,2025,Base_Population!$B$2:$B$41,$A51),"")</f>
        <v>1.098</v>
      </c>
    </row>
    <row r="52" customFormat="false" ht="15" hidden="false" customHeight="false" outlineLevel="0" collapsed="false">
      <c r="A52" s="15" t="s">
        <v>27</v>
      </c>
      <c r="B52" s="8" t="n">
        <f aca="false">IFERROR(SUMIFS(Base_Population!$F$2:$F$41,Base_Population!$A$2:$A$41,2022,Base_Population!$B$2:$B$41,$A52)/SUMIFS(Base_Population!$C$2:$C$41,Base_Population!$A$2:$A$41,2022,Base_Population!$B$2:$B$41,$A52)*SUMIFS(Base_Population!$C$2:$C$41,Base_Population!$A$2:$A$41,2022,Base_Population!$B$2:$B$41,$A52),"")</f>
        <v>1.0268</v>
      </c>
      <c r="C52" s="8" t="n">
        <f aca="false">IFERROR(SUMIFS(Base_Population!$F$2:$F$41,Base_Population!$A$2:$A$41,2023,Base_Population!$B$2:$B$41,$A52)/SUMIFS(Base_Population!$C$2:$C$41,Base_Population!$A$2:$A$41,2023,Base_Population!$B$2:$B$41,$A52)*SUMIFS(Base_Population!$C$2:$C$41,Base_Population!$A$2:$A$41,2023,Base_Population!$B$2:$B$41,$A52),"")</f>
        <v>1.066</v>
      </c>
      <c r="D52" s="8" t="n">
        <f aca="false">IFERROR(SUMIFS(Base_Population!$F$2:$F$41,Base_Population!$A$2:$A$41,2024,Base_Population!$B$2:$B$41,$A52)/SUMIFS(Base_Population!$C$2:$C$41,Base_Population!$A$2:$A$41,2024,Base_Population!$B$2:$B$41,$A52)*SUMIFS(Base_Population!$C$2:$C$41,Base_Population!$A$2:$A$41,2024,Base_Population!$B$2:$B$41,$A52),"")</f>
        <v>1.0725</v>
      </c>
      <c r="E52" s="8" t="n">
        <f aca="false">IFERROR(SUMIFS(Base_Population!$F$2:$F$41,Base_Population!$A$2:$A$41,2025,Base_Population!$B$2:$B$41,$A52)/SUMIFS(Base_Population!$C$2:$C$41,Base_Population!$A$2:$A$41,2025,Base_Population!$B$2:$B$41,$A52)*SUMIFS(Base_Population!$C$2:$C$41,Base_Population!$A$2:$A$41,2025,Base_Population!$B$2:$B$41,$A52),"")</f>
        <v>1.0895</v>
      </c>
    </row>
    <row r="53" customFormat="false" ht="15" hidden="false" customHeight="false" outlineLevel="0" collapsed="false">
      <c r="A53" s="17" t="s">
        <v>28</v>
      </c>
      <c r="B53" s="13" t="n">
        <f aca="false">IFERROR(SUMIFS(Base_Population!$F$2:$F$41,Base_Population!$A$2:$A$41,2022,Base_Population!$B$2:$B$41,$A53)/SUMIFS(Base_Population!$C$2:$C$41,Base_Population!$A$2:$A$41,2022,Base_Population!$B$2:$B$41,$A53)*SUMIFS(Base_Population!$C$2:$C$41,Base_Population!$A$2:$A$41,2022,Base_Population!$B$2:$B$41,$A53),"")</f>
        <v>1.0239</v>
      </c>
      <c r="C53" s="13" t="n">
        <f aca="false">IFERROR(SUMIFS(Base_Population!$F$2:$F$41,Base_Population!$A$2:$A$41,2023,Base_Population!$B$2:$B$41,$A53)/SUMIFS(Base_Population!$C$2:$C$41,Base_Population!$A$2:$A$41,2023,Base_Population!$B$2:$B$41,$A53)*SUMIFS(Base_Population!$C$2:$C$41,Base_Population!$A$2:$A$41,2023,Base_Population!$B$2:$B$41,$A53),"")</f>
        <v>1.039</v>
      </c>
      <c r="D53" s="13" t="n">
        <f aca="false">IFERROR(SUMIFS(Base_Population!$F$2:$F$41,Base_Population!$A$2:$A$41,2024,Base_Population!$B$2:$B$41,$A53)/SUMIFS(Base_Population!$C$2:$C$41,Base_Population!$A$2:$A$41,2024,Base_Population!$B$2:$B$41,$A53)*SUMIFS(Base_Population!$C$2:$C$41,Base_Population!$A$2:$A$41,2024,Base_Population!$B$2:$B$41,$A53),"")</f>
        <v>1.0465</v>
      </c>
      <c r="E53" s="13" t="n">
        <f aca="false">IFERROR(SUMIFS(Base_Population!$F$2:$F$41,Base_Population!$A$2:$A$41,2025,Base_Population!$B$2:$B$41,$A53)/SUMIFS(Base_Population!$C$2:$C$41,Base_Population!$A$2:$A$41,2025,Base_Population!$B$2:$B$41,$A53)*SUMIFS(Base_Population!$C$2:$C$41,Base_Population!$A$2:$A$41,2025,Base_Population!$B$2:$B$41,$A53),"")</f>
        <v>1.062</v>
      </c>
    </row>
    <row r="54" customFormat="false" ht="15" hidden="false" customHeight="false" outlineLevel="0" collapsed="false">
      <c r="A54" s="15" t="s">
        <v>29</v>
      </c>
      <c r="B54" s="8" t="n">
        <f aca="false">IFERROR(SUMIFS(Base_Population!$F$2:$F$41,Base_Population!$A$2:$A$41,2022,Base_Population!$B$2:$B$41,$A54)/SUMIFS(Base_Population!$C$2:$C$41,Base_Population!$A$2:$A$41,2022,Base_Population!$B$2:$B$41,$A54)*SUMIFS(Base_Population!$C$2:$C$41,Base_Population!$A$2:$A$41,2022,Base_Population!$B$2:$B$41,$A54),"")</f>
        <v>1.0523</v>
      </c>
      <c r="C54" s="8" t="n">
        <f aca="false">IFERROR(SUMIFS(Base_Population!$F$2:$F$41,Base_Population!$A$2:$A$41,2023,Base_Population!$B$2:$B$41,$A54)/SUMIFS(Base_Population!$C$2:$C$41,Base_Population!$A$2:$A$41,2023,Base_Population!$B$2:$B$41,$A54)*SUMIFS(Base_Population!$C$2:$C$41,Base_Population!$A$2:$A$41,2023,Base_Population!$B$2:$B$41,$A54),"")</f>
        <v>1.0623</v>
      </c>
      <c r="D54" s="8" t="n">
        <f aca="false">IFERROR(SUMIFS(Base_Population!$F$2:$F$41,Base_Population!$A$2:$A$41,2024,Base_Population!$B$2:$B$41,$A54)/SUMIFS(Base_Population!$C$2:$C$41,Base_Population!$A$2:$A$41,2024,Base_Population!$B$2:$B$41,$A54)*SUMIFS(Base_Population!$C$2:$C$41,Base_Population!$A$2:$A$41,2024,Base_Population!$B$2:$B$41,$A54),"")</f>
        <v>1.068</v>
      </c>
      <c r="E54" s="8" t="n">
        <f aca="false">IFERROR(SUMIFS(Base_Population!$F$2:$F$41,Base_Population!$A$2:$A$41,2025,Base_Population!$B$2:$B$41,$A54)/SUMIFS(Base_Population!$C$2:$C$41,Base_Population!$A$2:$A$41,2025,Base_Population!$B$2:$B$41,$A54)*SUMIFS(Base_Population!$C$2:$C$41,Base_Population!$A$2:$A$41,2025,Base_Population!$B$2:$B$41,$A54),"")</f>
        <v>1.085</v>
      </c>
    </row>
    <row r="56" customFormat="false" ht="15" hidden="false" customHeight="false" outlineLevel="0" collapsed="false">
      <c r="A56" s="23" t="s">
        <v>34</v>
      </c>
    </row>
    <row r="57" customFormat="false" ht="15" hidden="false" customHeight="false" outlineLevel="0" collapsed="false">
      <c r="A57" s="4" t="s">
        <v>13</v>
      </c>
      <c r="B57" s="4" t="s">
        <v>14</v>
      </c>
      <c r="C57" s="4" t="s">
        <v>15</v>
      </c>
      <c r="D57" s="4" t="s">
        <v>16</v>
      </c>
      <c r="E57" s="4" t="s">
        <v>17</v>
      </c>
    </row>
    <row r="58" customFormat="false" ht="15" hidden="false" customHeight="false" outlineLevel="0" collapsed="false">
      <c r="A58" s="15" t="s">
        <v>20</v>
      </c>
      <c r="B58" s="16" t="n">
        <f aca="false">IFERROR(SUMIFS(Base_Population!$G$2:$G$41,Base_Population!$A$2:$A$41,2022,Base_Population!$B$2:$B$41,$A58),"")</f>
        <v>0.8019</v>
      </c>
      <c r="C58" s="16" t="n">
        <f aca="false">IFERROR(SUMIFS(Base_Population!$G$2:$G$41,Base_Population!$A$2:$A$41,2023,Base_Population!$B$2:$B$41,$A58),"")</f>
        <v>0.7231</v>
      </c>
      <c r="D58" s="16" t="n">
        <f aca="false">IFERROR(SUMIFS(Base_Population!$G$2:$G$41,Base_Population!$A$2:$A$41,2024,Base_Population!$B$2:$B$41,$A58),"")</f>
        <v>0.692</v>
      </c>
      <c r="E58" s="16" t="n">
        <f aca="false">IFERROR(SUMIFS(Base_Population!$G$2:$G$41,Base_Population!$A$2:$A$41,2025,Base_Population!$B$2:$B$41,$A58),"")</f>
        <v>0.671</v>
      </c>
    </row>
    <row r="59" customFormat="false" ht="15" hidden="false" customHeight="false" outlineLevel="0" collapsed="false">
      <c r="A59" s="17" t="s">
        <v>21</v>
      </c>
      <c r="B59" s="18" t="n">
        <f aca="false">IFERROR(SUMIFS(Base_Population!$G$2:$G$41,Base_Population!$A$2:$A$41,2022,Base_Population!$B$2:$B$41,$A59),"")</f>
        <v>0.8195</v>
      </c>
      <c r="C59" s="18" t="n">
        <f aca="false">IFERROR(SUMIFS(Base_Population!$G$2:$G$41,Base_Population!$A$2:$A$41,2023,Base_Population!$B$2:$B$41,$A59),"")</f>
        <v>0.7052</v>
      </c>
      <c r="D59" s="18" t="n">
        <f aca="false">IFERROR(SUMIFS(Base_Population!$G$2:$G$41,Base_Population!$A$2:$A$41,2024,Base_Population!$B$2:$B$41,$A59),"")</f>
        <v>0.6985</v>
      </c>
      <c r="E59" s="18" t="n">
        <f aca="false">IFERROR(SUMIFS(Base_Population!$G$2:$G$41,Base_Population!$A$2:$A$41,2025,Base_Population!$B$2:$B$41,$A59),"")</f>
        <v>0.6785</v>
      </c>
    </row>
    <row r="60" customFormat="false" ht="15" hidden="false" customHeight="false" outlineLevel="0" collapsed="false">
      <c r="A60" s="15" t="s">
        <v>22</v>
      </c>
      <c r="B60" s="16" t="n">
        <f aca="false">IFERROR(SUMIFS(Base_Population!$G$2:$G$41,Base_Population!$A$2:$A$41,2022,Base_Population!$B$2:$B$41,$A60),"")</f>
        <v>0.7328</v>
      </c>
      <c r="C60" s="16" t="n">
        <f aca="false">IFERROR(SUMIFS(Base_Population!$G$2:$G$41,Base_Population!$A$2:$A$41,2023,Base_Population!$B$2:$B$41,$A60),"")</f>
        <v>0.7165</v>
      </c>
      <c r="D60" s="16" t="n">
        <f aca="false">IFERROR(SUMIFS(Base_Population!$G$2:$G$41,Base_Population!$A$2:$A$41,2024,Base_Population!$B$2:$B$41,$A60),"")</f>
        <v>0.7052</v>
      </c>
      <c r="E60" s="16" t="n">
        <f aca="false">IFERROR(SUMIFS(Base_Population!$G$2:$G$41,Base_Population!$A$2:$A$41,2025,Base_Population!$B$2:$B$41,$A60),"")</f>
        <v>0.6825</v>
      </c>
    </row>
    <row r="61" customFormat="false" ht="15" hidden="false" customHeight="false" outlineLevel="0" collapsed="false">
      <c r="A61" s="17" t="s">
        <v>23</v>
      </c>
      <c r="B61" s="18" t="n">
        <f aca="false">IFERROR(SUMIFS(Base_Population!$G$2:$G$41,Base_Population!$A$2:$A$41,2022,Base_Population!$B$2:$B$41,$A61),"")</f>
        <v>0.7278</v>
      </c>
      <c r="C61" s="18" t="n">
        <f aca="false">IFERROR(SUMIFS(Base_Population!$G$2:$G$41,Base_Population!$A$2:$A$41,2023,Base_Population!$B$2:$B$41,$A61),"")</f>
        <v>0.7046</v>
      </c>
      <c r="D61" s="18" t="n">
        <f aca="false">IFERROR(SUMIFS(Base_Population!$G$2:$G$41,Base_Population!$A$2:$A$41,2024,Base_Population!$B$2:$B$41,$A61),"")</f>
        <v>0.7088</v>
      </c>
      <c r="E61" s="18" t="n">
        <f aca="false">IFERROR(SUMIFS(Base_Population!$G$2:$G$41,Base_Population!$A$2:$A$41,2025,Base_Population!$B$2:$B$41,$A61),"")</f>
        <v>0.686</v>
      </c>
    </row>
    <row r="62" customFormat="false" ht="15" hidden="false" customHeight="false" outlineLevel="0" collapsed="false">
      <c r="A62" s="15" t="s">
        <v>24</v>
      </c>
      <c r="B62" s="16" t="n">
        <f aca="false">IFERROR(SUMIFS(Base_Population!$G$2:$G$41,Base_Population!$A$2:$A$41,2022,Base_Population!$B$2:$B$41,$A62),"")</f>
        <v>0.738</v>
      </c>
      <c r="C62" s="16" t="n">
        <f aca="false">IFERROR(SUMIFS(Base_Population!$G$2:$G$41,Base_Population!$A$2:$A$41,2023,Base_Population!$B$2:$B$41,$A62),"")</f>
        <v>0.718</v>
      </c>
      <c r="D62" s="16" t="n">
        <f aca="false">IFERROR(SUMIFS(Base_Population!$G$2:$G$41,Base_Population!$A$2:$A$41,2024,Base_Population!$B$2:$B$41,$A62),"")</f>
        <v>0.712</v>
      </c>
      <c r="E62" s="16" t="n">
        <f aca="false">IFERROR(SUMIFS(Base_Population!$G$2:$G$41,Base_Population!$A$2:$A$41,2025,Base_Population!$B$2:$B$41,$A62),"")</f>
        <v>0.6895</v>
      </c>
    </row>
    <row r="63" customFormat="false" ht="15" hidden="false" customHeight="false" outlineLevel="0" collapsed="false">
      <c r="A63" s="17" t="s">
        <v>25</v>
      </c>
      <c r="B63" s="18" t="n">
        <f aca="false">IFERROR(SUMIFS(Base_Population!$G$2:$G$41,Base_Population!$A$2:$A$41,2022,Base_Population!$B$2:$B$41,$A63),"")</f>
        <v>0.5726</v>
      </c>
      <c r="C63" s="18" t="n">
        <f aca="false">IFERROR(SUMIFS(Base_Population!$G$2:$G$41,Base_Population!$A$2:$A$41,2023,Base_Population!$B$2:$B$41,$A63),"")</f>
        <v>0.725</v>
      </c>
      <c r="D63" s="18" t="n">
        <f aca="false">IFERROR(SUMIFS(Base_Population!$G$2:$G$41,Base_Population!$A$2:$A$41,2024,Base_Population!$B$2:$B$41,$A63),"")</f>
        <v>0.718</v>
      </c>
      <c r="E63" s="18" t="n">
        <f aca="false">IFERROR(SUMIFS(Base_Population!$G$2:$G$41,Base_Population!$A$2:$A$41,2025,Base_Population!$B$2:$B$41,$A63),"")</f>
        <v>0.692</v>
      </c>
    </row>
    <row r="64" customFormat="false" ht="15" hidden="false" customHeight="false" outlineLevel="0" collapsed="false">
      <c r="A64" s="15" t="s">
        <v>26</v>
      </c>
      <c r="B64" s="16" t="n">
        <f aca="false">IFERROR(SUMIFS(Base_Population!$G$2:$G$41,Base_Population!$A$2:$A$41,2022,Base_Population!$B$2:$B$41,$A64),"")</f>
        <v>0.7838</v>
      </c>
      <c r="C64" s="16" t="n">
        <f aca="false">IFERROR(SUMIFS(Base_Population!$G$2:$G$41,Base_Population!$A$2:$A$41,2023,Base_Population!$B$2:$B$41,$A64),"")</f>
        <v>0.7857</v>
      </c>
      <c r="D64" s="16" t="n">
        <f aca="false">IFERROR(SUMIFS(Base_Population!$G$2:$G$41,Base_Population!$A$2:$A$41,2024,Base_Population!$B$2:$B$41,$A64),"")</f>
        <v>0.773</v>
      </c>
      <c r="E64" s="16" t="n">
        <f aca="false">IFERROR(SUMIFS(Base_Population!$G$2:$G$41,Base_Population!$A$2:$A$41,2025,Base_Population!$B$2:$B$41,$A64),"")</f>
        <v>0.758</v>
      </c>
    </row>
    <row r="65" customFormat="false" ht="15" hidden="false" customHeight="false" outlineLevel="0" collapsed="false">
      <c r="A65" s="17" t="s">
        <v>27</v>
      </c>
      <c r="B65" s="18" t="n">
        <f aca="false">IFERROR(SUMIFS(Base_Population!$G$2:$G$41,Base_Population!$A$2:$A$41,2022,Base_Population!$B$2:$B$41,$A65),"")</f>
        <v>0.7567</v>
      </c>
      <c r="C65" s="18" t="n">
        <f aca="false">IFERROR(SUMIFS(Base_Population!$G$2:$G$41,Base_Population!$A$2:$A$41,2023,Base_Population!$B$2:$B$41,$A65),"")</f>
        <v>0.8199</v>
      </c>
      <c r="D65" s="18" t="n">
        <f aca="false">IFERROR(SUMIFS(Base_Population!$G$2:$G$41,Base_Population!$A$2:$A$41,2024,Base_Population!$B$2:$B$41,$A65),"")</f>
        <v>0.801</v>
      </c>
      <c r="E65" s="18" t="n">
        <f aca="false">IFERROR(SUMIFS(Base_Population!$G$2:$G$41,Base_Population!$A$2:$A$41,2025,Base_Population!$B$2:$B$41,$A65),"")</f>
        <v>0.7855</v>
      </c>
    </row>
    <row r="66" customFormat="false" ht="15" hidden="false" customHeight="false" outlineLevel="0" collapsed="false">
      <c r="A66" s="15" t="s">
        <v>28</v>
      </c>
      <c r="B66" s="16" t="n">
        <f aca="false">IFERROR(SUMIFS(Base_Population!$G$2:$G$41,Base_Population!$A$2:$A$41,2022,Base_Population!$B$2:$B$41,$A66),"")</f>
        <v>0.7812</v>
      </c>
      <c r="C66" s="16" t="n">
        <f aca="false">IFERROR(SUMIFS(Base_Population!$G$2:$G$41,Base_Population!$A$2:$A$41,2023,Base_Population!$B$2:$B$41,$A66),"")</f>
        <v>0.698</v>
      </c>
      <c r="D66" s="16" t="n">
        <f aca="false">IFERROR(SUMIFS(Base_Population!$G$2:$G$41,Base_Population!$A$2:$A$41,2024,Base_Population!$B$2:$B$41,$A66),"")</f>
        <v>0.688</v>
      </c>
      <c r="E66" s="16" t="n">
        <f aca="false">IFERROR(SUMIFS(Base_Population!$G$2:$G$41,Base_Population!$A$2:$A$41,2025,Base_Population!$B$2:$B$41,$A66),"")</f>
        <v>0.664</v>
      </c>
    </row>
    <row r="67" customFormat="false" ht="15" hidden="false" customHeight="false" outlineLevel="0" collapsed="false">
      <c r="A67" s="17" t="s">
        <v>29</v>
      </c>
      <c r="B67" s="18" t="n">
        <f aca="false">IFERROR(SUMIFS(Base_Population!$G$2:$G$41,Base_Population!$A$2:$A$41,2022,Base_Population!$B$2:$B$41,$A67),"")</f>
        <v>0.781</v>
      </c>
      <c r="C67" s="18" t="n">
        <f aca="false">IFERROR(SUMIFS(Base_Population!$G$2:$G$41,Base_Population!$A$2:$A$41,2023,Base_Population!$B$2:$B$41,$A67),"")</f>
        <v>0.7155</v>
      </c>
      <c r="D67" s="18" t="n">
        <f aca="false">IFERROR(SUMIFS(Base_Population!$G$2:$G$41,Base_Population!$A$2:$A$41,2024,Base_Population!$B$2:$B$41,$A67),"")</f>
        <v>0.708</v>
      </c>
      <c r="E67" s="18" t="n">
        <f aca="false">IFERROR(SUMIFS(Base_Population!$G$2:$G$41,Base_Population!$A$2:$A$41,2025,Base_Population!$B$2:$B$41,$A67),"")</f>
        <v>0.685</v>
      </c>
    </row>
    <row r="69" customFormat="false" ht="15" hidden="false" customHeight="false" outlineLevel="0" collapsed="false">
      <c r="A69" s="23" t="s">
        <v>35</v>
      </c>
    </row>
    <row r="70" customFormat="false" ht="15" hidden="false" customHeight="false" outlineLevel="0" collapsed="false">
      <c r="A70" s="4" t="s">
        <v>13</v>
      </c>
      <c r="B70" s="4" t="s">
        <v>14</v>
      </c>
      <c r="C70" s="4" t="s">
        <v>15</v>
      </c>
      <c r="D70" s="4" t="s">
        <v>16</v>
      </c>
      <c r="E70" s="4" t="s">
        <v>17</v>
      </c>
    </row>
    <row r="71" customFormat="false" ht="15" hidden="false" customHeight="false" outlineLevel="0" collapsed="false">
      <c r="A71" s="17" t="s">
        <v>20</v>
      </c>
      <c r="B71" s="14" t="n">
        <f aca="false">IFERROR(SUMIFS(Base_Population!$H$2:$H$41,Base_Population!$A$2:$A$41,2022,Base_Population!$B$2:$B$41,$A71)+SUMIFS(Base_Population!$I$2:$I$41,Base_Population!$A$2:$A$41,2022,Base_Population!$B$2:$B$41,$A71),"")</f>
        <v>23.53</v>
      </c>
      <c r="C71" s="14" t="n">
        <f aca="false">IFERROR(SUMIFS(Base_Population!$H$2:$H$41,Base_Population!$A$2:$A$41,2023,Base_Population!$B$2:$B$41,$A71)+SUMIFS(Base_Population!$I$2:$I$41,Base_Population!$A$2:$A$41,2023,Base_Population!$B$2:$B$41,$A71),"")</f>
        <v>18.39</v>
      </c>
      <c r="D71" s="14" t="n">
        <f aca="false">IFERROR(SUMIFS(Base_Population!$H$2:$H$41,Base_Population!$A$2:$A$41,2024,Base_Population!$B$2:$B$41,$A71)+SUMIFS(Base_Population!$I$2:$I$41,Base_Population!$A$2:$A$41,2024,Base_Population!$B$2:$B$41,$A71),"")</f>
        <v>23.25</v>
      </c>
      <c r="E71" s="14" t="n">
        <f aca="false">IFERROR(SUMIFS(Base_Population!$H$2:$H$41,Base_Population!$A$2:$A$41,2025,Base_Population!$B$2:$B$41,$A71)+SUMIFS(Base_Population!$I$2:$I$41,Base_Population!$A$2:$A$41,2025,Base_Population!$B$2:$B$41,$A71),"")</f>
        <v>24.1</v>
      </c>
    </row>
    <row r="72" customFormat="false" ht="15" hidden="false" customHeight="false" outlineLevel="0" collapsed="false">
      <c r="A72" s="15" t="s">
        <v>21</v>
      </c>
      <c r="B72" s="9" t="n">
        <f aca="false">IFERROR(SUMIFS(Base_Population!$H$2:$H$41,Base_Population!$A$2:$A$41,2022,Base_Population!$B$2:$B$41,$A72)+SUMIFS(Base_Population!$I$2:$I$41,Base_Population!$A$2:$A$41,2022,Base_Population!$B$2:$B$41,$A72),"")</f>
        <v>20.18</v>
      </c>
      <c r="C72" s="9" t="n">
        <f aca="false">IFERROR(SUMIFS(Base_Population!$H$2:$H$41,Base_Population!$A$2:$A$41,2023,Base_Population!$B$2:$B$41,$A72)+SUMIFS(Base_Population!$I$2:$I$41,Base_Population!$A$2:$A$41,2023,Base_Population!$B$2:$B$41,$A72),"")</f>
        <v>25.25</v>
      </c>
      <c r="D72" s="9" t="n">
        <f aca="false">IFERROR(SUMIFS(Base_Population!$H$2:$H$41,Base_Population!$A$2:$A$41,2024,Base_Population!$B$2:$B$41,$A72)+SUMIFS(Base_Population!$I$2:$I$41,Base_Population!$A$2:$A$41,2024,Base_Population!$B$2:$B$41,$A72),"")</f>
        <v>23.95</v>
      </c>
      <c r="E72" s="9" t="n">
        <f aca="false">IFERROR(SUMIFS(Base_Population!$H$2:$H$41,Base_Population!$A$2:$A$41,2025,Base_Population!$B$2:$B$41,$A72)+SUMIFS(Base_Population!$I$2:$I$41,Base_Population!$A$2:$A$41,2025,Base_Population!$B$2:$B$41,$A72),"")</f>
        <v>25.1</v>
      </c>
    </row>
    <row r="73" customFormat="false" ht="15" hidden="false" customHeight="false" outlineLevel="0" collapsed="false">
      <c r="A73" s="17" t="s">
        <v>22</v>
      </c>
      <c r="B73" s="14" t="n">
        <f aca="false">IFERROR(SUMIFS(Base_Population!$H$2:$H$41,Base_Population!$A$2:$A$41,2022,Base_Population!$B$2:$B$41,$A73)+SUMIFS(Base_Population!$I$2:$I$41,Base_Population!$A$2:$A$41,2022,Base_Population!$B$2:$B$41,$A73),"")</f>
        <v>27.8</v>
      </c>
      <c r="C73" s="14" t="n">
        <f aca="false">IFERROR(SUMIFS(Base_Population!$H$2:$H$41,Base_Population!$A$2:$A$41,2023,Base_Population!$B$2:$B$41,$A73)+SUMIFS(Base_Population!$I$2:$I$41,Base_Population!$A$2:$A$41,2023,Base_Population!$B$2:$B$41,$A73),"")</f>
        <v>15.7</v>
      </c>
      <c r="D73" s="14" t="n">
        <f aca="false">IFERROR(SUMIFS(Base_Population!$H$2:$H$41,Base_Population!$A$2:$A$41,2024,Base_Population!$B$2:$B$41,$A73)+SUMIFS(Base_Population!$I$2:$I$41,Base_Population!$A$2:$A$41,2024,Base_Population!$B$2:$B$41,$A73),"")</f>
        <v>22.59</v>
      </c>
      <c r="E73" s="14" t="n">
        <f aca="false">IFERROR(SUMIFS(Base_Population!$H$2:$H$41,Base_Population!$A$2:$A$41,2025,Base_Population!$B$2:$B$41,$A73)+SUMIFS(Base_Population!$I$2:$I$41,Base_Population!$A$2:$A$41,2025,Base_Population!$B$2:$B$41,$A73),"")</f>
        <v>24</v>
      </c>
    </row>
    <row r="74" customFormat="false" ht="15" hidden="false" customHeight="false" outlineLevel="0" collapsed="false">
      <c r="A74" s="15" t="s">
        <v>23</v>
      </c>
      <c r="B74" s="9" t="n">
        <f aca="false">IFERROR(SUMIFS(Base_Population!$H$2:$H$41,Base_Population!$A$2:$A$41,2022,Base_Population!$B$2:$B$41,$A74)+SUMIFS(Base_Population!$I$2:$I$41,Base_Population!$A$2:$A$41,2022,Base_Population!$B$2:$B$41,$A74),"")</f>
        <v>35.42</v>
      </c>
      <c r="C74" s="9" t="n">
        <f aca="false">IFERROR(SUMIFS(Base_Population!$H$2:$H$41,Base_Population!$A$2:$A$41,2023,Base_Population!$B$2:$B$41,$A74)+SUMIFS(Base_Population!$I$2:$I$41,Base_Population!$A$2:$A$41,2023,Base_Population!$B$2:$B$41,$A74),"")</f>
        <v>18.6</v>
      </c>
      <c r="D74" s="9" t="n">
        <f aca="false">IFERROR(SUMIFS(Base_Population!$H$2:$H$41,Base_Population!$A$2:$A$41,2024,Base_Population!$B$2:$B$41,$A74)+SUMIFS(Base_Population!$I$2:$I$41,Base_Population!$A$2:$A$41,2024,Base_Population!$B$2:$B$41,$A74),"")</f>
        <v>24.02</v>
      </c>
      <c r="E74" s="9" t="n">
        <f aca="false">IFERROR(SUMIFS(Base_Population!$H$2:$H$41,Base_Population!$A$2:$A$41,2025,Base_Population!$B$2:$B$41,$A74)+SUMIFS(Base_Population!$I$2:$I$41,Base_Population!$A$2:$A$41,2025,Base_Population!$B$2:$B$41,$A74),"")</f>
        <v>25.35</v>
      </c>
    </row>
    <row r="75" customFormat="false" ht="15" hidden="false" customHeight="false" outlineLevel="0" collapsed="false">
      <c r="A75" s="17" t="s">
        <v>24</v>
      </c>
      <c r="B75" s="14" t="n">
        <f aca="false">IFERROR(SUMIFS(Base_Population!$H$2:$H$41,Base_Population!$A$2:$A$41,2022,Base_Population!$B$2:$B$41,$A75)+SUMIFS(Base_Population!$I$2:$I$41,Base_Population!$A$2:$A$41,2022,Base_Population!$B$2:$B$41,$A75),"")</f>
        <v>30.78</v>
      </c>
      <c r="C75" s="14" t="n">
        <f aca="false">IFERROR(SUMIFS(Base_Population!$H$2:$H$41,Base_Population!$A$2:$A$41,2023,Base_Population!$B$2:$B$41,$A75)+SUMIFS(Base_Population!$I$2:$I$41,Base_Population!$A$2:$A$41,2023,Base_Population!$B$2:$B$41,$A75),"")</f>
        <v>18.2</v>
      </c>
      <c r="D75" s="14" t="n">
        <f aca="false">IFERROR(SUMIFS(Base_Population!$H$2:$H$41,Base_Population!$A$2:$A$41,2024,Base_Population!$B$2:$B$41,$A75)+SUMIFS(Base_Population!$I$2:$I$41,Base_Population!$A$2:$A$41,2024,Base_Population!$B$2:$B$41,$A75),"")</f>
        <v>25.1</v>
      </c>
      <c r="E75" s="14" t="n">
        <f aca="false">IFERROR(SUMIFS(Base_Population!$H$2:$H$41,Base_Population!$A$2:$A$41,2025,Base_Population!$B$2:$B$41,$A75)+SUMIFS(Base_Population!$I$2:$I$41,Base_Population!$A$2:$A$41,2025,Base_Population!$B$2:$B$41,$A75),"")</f>
        <v>26.35</v>
      </c>
    </row>
    <row r="76" customFormat="false" ht="15" hidden="false" customHeight="false" outlineLevel="0" collapsed="false">
      <c r="A76" s="15" t="s">
        <v>25</v>
      </c>
      <c r="B76" s="9" t="n">
        <f aca="false">IFERROR(SUMIFS(Base_Population!$H$2:$H$41,Base_Population!$A$2:$A$41,2022,Base_Population!$B$2:$B$41,$A76)+SUMIFS(Base_Population!$I$2:$I$41,Base_Population!$A$2:$A$41,2022,Base_Population!$B$2:$B$41,$A76),"")</f>
        <v>28.85</v>
      </c>
      <c r="C76" s="9" t="n">
        <f aca="false">IFERROR(SUMIFS(Base_Population!$H$2:$H$41,Base_Population!$A$2:$A$41,2023,Base_Population!$B$2:$B$41,$A76)+SUMIFS(Base_Population!$I$2:$I$41,Base_Population!$A$2:$A$41,2023,Base_Population!$B$2:$B$41,$A76),"")</f>
        <v>20.25</v>
      </c>
      <c r="D76" s="9" t="n">
        <f aca="false">IFERROR(SUMIFS(Base_Population!$H$2:$H$41,Base_Population!$A$2:$A$41,2024,Base_Population!$B$2:$B$41,$A76)+SUMIFS(Base_Population!$I$2:$I$41,Base_Population!$A$2:$A$41,2024,Base_Population!$B$2:$B$41,$A76),"")</f>
        <v>26</v>
      </c>
      <c r="E76" s="9" t="n">
        <f aca="false">IFERROR(SUMIFS(Base_Population!$H$2:$H$41,Base_Population!$A$2:$A$41,2025,Base_Population!$B$2:$B$41,$A76)+SUMIFS(Base_Population!$I$2:$I$41,Base_Population!$A$2:$A$41,2025,Base_Population!$B$2:$B$41,$A76),"")</f>
        <v>27.2</v>
      </c>
    </row>
    <row r="77" customFormat="false" ht="15" hidden="false" customHeight="false" outlineLevel="0" collapsed="false">
      <c r="A77" s="17" t="s">
        <v>26</v>
      </c>
      <c r="B77" s="14" t="n">
        <f aca="false">IFERROR(SUMIFS(Base_Population!$H$2:$H$41,Base_Population!$A$2:$A$41,2022,Base_Population!$B$2:$B$41,$A77)+SUMIFS(Base_Population!$I$2:$I$41,Base_Population!$A$2:$A$41,2022,Base_Population!$B$2:$B$41,$A77),"")</f>
        <v>29.46</v>
      </c>
      <c r="C77" s="14" t="n">
        <f aca="false">IFERROR(SUMIFS(Base_Population!$H$2:$H$41,Base_Population!$A$2:$A$41,2023,Base_Population!$B$2:$B$41,$A77)+SUMIFS(Base_Population!$I$2:$I$41,Base_Population!$A$2:$A$41,2023,Base_Population!$B$2:$B$41,$A77),"")</f>
        <v>9.26</v>
      </c>
      <c r="D77" s="14" t="n">
        <f aca="false">IFERROR(SUMIFS(Base_Population!$H$2:$H$41,Base_Population!$A$2:$A$41,2024,Base_Population!$B$2:$B$41,$A77)+SUMIFS(Base_Population!$I$2:$I$41,Base_Population!$A$2:$A$41,2024,Base_Population!$B$2:$B$41,$A77),"")</f>
        <v>19.3</v>
      </c>
      <c r="E77" s="14" t="n">
        <f aca="false">IFERROR(SUMIFS(Base_Population!$H$2:$H$41,Base_Population!$A$2:$A$41,2025,Base_Population!$B$2:$B$41,$A77)+SUMIFS(Base_Population!$I$2:$I$41,Base_Population!$A$2:$A$41,2025,Base_Population!$B$2:$B$41,$A77),"")</f>
        <v>20.45</v>
      </c>
    </row>
    <row r="78" customFormat="false" ht="15" hidden="false" customHeight="false" outlineLevel="0" collapsed="false">
      <c r="A78" s="15" t="s">
        <v>27</v>
      </c>
      <c r="B78" s="9" t="n">
        <f aca="false">IFERROR(SUMIFS(Base_Population!$H$2:$H$41,Base_Population!$A$2:$A$41,2022,Base_Population!$B$2:$B$41,$A78)+SUMIFS(Base_Population!$I$2:$I$41,Base_Population!$A$2:$A$41,2022,Base_Population!$B$2:$B$41,$A78),"")</f>
        <v>28.25</v>
      </c>
      <c r="C78" s="9" t="n">
        <f aca="false">IFERROR(SUMIFS(Base_Population!$H$2:$H$41,Base_Population!$A$2:$A$41,2023,Base_Population!$B$2:$B$41,$A78)+SUMIFS(Base_Population!$I$2:$I$41,Base_Population!$A$2:$A$41,2023,Base_Population!$B$2:$B$41,$A78),"")</f>
        <v>9.68</v>
      </c>
      <c r="D78" s="9" t="n">
        <f aca="false">IFERROR(SUMIFS(Base_Population!$H$2:$H$41,Base_Population!$A$2:$A$41,2024,Base_Population!$B$2:$B$41,$A78)+SUMIFS(Base_Population!$I$2:$I$41,Base_Population!$A$2:$A$41,2024,Base_Population!$B$2:$B$41,$A78),"")</f>
        <v>20.25</v>
      </c>
      <c r="E78" s="9" t="n">
        <f aca="false">IFERROR(SUMIFS(Base_Population!$H$2:$H$41,Base_Population!$A$2:$A$41,2025,Base_Population!$B$2:$B$41,$A78)+SUMIFS(Base_Population!$I$2:$I$41,Base_Population!$A$2:$A$41,2025,Base_Population!$B$2:$B$41,$A78),"")</f>
        <v>21.3</v>
      </c>
    </row>
    <row r="79" customFormat="false" ht="15" hidden="false" customHeight="false" outlineLevel="0" collapsed="false">
      <c r="A79" s="17" t="s">
        <v>28</v>
      </c>
      <c r="B79" s="14" t="n">
        <f aca="false">IFERROR(SUMIFS(Base_Population!$H$2:$H$41,Base_Population!$A$2:$A$41,2022,Base_Population!$B$2:$B$41,$A79)+SUMIFS(Base_Population!$I$2:$I$41,Base_Population!$A$2:$A$41,2022,Base_Population!$B$2:$B$41,$A79),"")</f>
        <v>23.7</v>
      </c>
      <c r="C79" s="14" t="n">
        <f aca="false">IFERROR(SUMIFS(Base_Population!$H$2:$H$41,Base_Population!$A$2:$A$41,2023,Base_Population!$B$2:$B$41,$A79)+SUMIFS(Base_Population!$I$2:$I$41,Base_Population!$A$2:$A$41,2023,Base_Population!$B$2:$B$41,$A79),"")</f>
        <v>13.9</v>
      </c>
      <c r="D79" s="14" t="n">
        <f aca="false">IFERROR(SUMIFS(Base_Population!$H$2:$H$41,Base_Population!$A$2:$A$41,2024,Base_Population!$B$2:$B$41,$A79)+SUMIFS(Base_Population!$I$2:$I$41,Base_Population!$A$2:$A$41,2024,Base_Population!$B$2:$B$41,$A79),"")</f>
        <v>22.45</v>
      </c>
      <c r="E79" s="14" t="n">
        <f aca="false">IFERROR(SUMIFS(Base_Population!$H$2:$H$41,Base_Population!$A$2:$A$41,2025,Base_Population!$B$2:$B$41,$A79)+SUMIFS(Base_Population!$I$2:$I$41,Base_Population!$A$2:$A$41,2025,Base_Population!$B$2:$B$41,$A79),"")</f>
        <v>23.5</v>
      </c>
    </row>
    <row r="80" customFormat="false" ht="15" hidden="false" customHeight="false" outlineLevel="0" collapsed="false">
      <c r="A80" s="15" t="s">
        <v>29</v>
      </c>
      <c r="B80" s="9" t="n">
        <f aca="false">IFERROR(SUMIFS(Base_Population!$H$2:$H$41,Base_Population!$A$2:$A$41,2022,Base_Population!$B$2:$B$41,$A80)+SUMIFS(Base_Population!$I$2:$I$41,Base_Population!$A$2:$A$41,2022,Base_Population!$B$2:$B$41,$A80),"")</f>
        <v>19.89</v>
      </c>
      <c r="C80" s="9" t="n">
        <f aca="false">IFERROR(SUMIFS(Base_Population!$H$2:$H$41,Base_Population!$A$2:$A$41,2023,Base_Population!$B$2:$B$41,$A80)+SUMIFS(Base_Population!$I$2:$I$41,Base_Population!$A$2:$A$41,2023,Base_Population!$B$2:$B$41,$A80),"")</f>
        <v>11.9</v>
      </c>
      <c r="D80" s="9" t="n">
        <f aca="false">IFERROR(SUMIFS(Base_Population!$H$2:$H$41,Base_Population!$A$2:$A$41,2024,Base_Population!$B$2:$B$41,$A80)+SUMIFS(Base_Population!$I$2:$I$41,Base_Population!$A$2:$A$41,2024,Base_Population!$B$2:$B$41,$A80),"")</f>
        <v>20.8</v>
      </c>
      <c r="E80" s="9" t="n">
        <f aca="false">IFERROR(SUMIFS(Base_Population!$H$2:$H$41,Base_Population!$A$2:$A$41,2025,Base_Population!$B$2:$B$41,$A80)+SUMIFS(Base_Population!$I$2:$I$41,Base_Population!$A$2:$A$41,2025,Base_Population!$B$2:$B$41,$A80),"")</f>
        <v>21.8</v>
      </c>
    </row>
  </sheetData>
  <mergeCells count="6">
    <mergeCell ref="A1:K1"/>
    <mergeCell ref="A2:K2"/>
    <mergeCell ref="A4:I4"/>
    <mergeCell ref="A12:F12"/>
    <mergeCell ref="A27:F27"/>
    <mergeCell ref="A42:F42"/>
  </mergeCells>
  <conditionalFormatting sqref="F6:F9">
    <cfRule type="colorScale" priority="2">
      <colorScale>
        <cfvo type="min" val="0"/>
        <cfvo type="max" val="0"/>
        <color rgb="FFC6E5E3"/>
        <color rgb="FFF96167"/>
      </colorScale>
    </cfRule>
  </conditionalFormatting>
  <conditionalFormatting sqref="I6:I9">
    <cfRule type="colorScale" priority="3">
      <colorScale>
        <cfvo type="min" val="0"/>
        <cfvo type="max" val="0"/>
        <color rgb="FFC6E5E3"/>
        <color rgb="FFF96167"/>
      </colorScale>
    </cfRule>
  </conditionalFormatting>
  <conditionalFormatting sqref="B45:E54">
    <cfRule type="colorScale" priority="4">
      <colorScale>
        <cfvo type="min" val="0"/>
        <cfvo type="percentile" val="50"/>
        <cfvo type="max" val="0"/>
        <color rgb="FFE3F2EF"/>
        <color rgb="FFFFF4D6"/>
        <color rgb="FFF96167"/>
      </colorScale>
    </cfRule>
  </conditionalFormatting>
  <conditionalFormatting sqref="B58:E67">
    <cfRule type="colorScale" priority="5">
      <colorScale>
        <cfvo type="min" val="0"/>
        <cfvo type="max" val="0"/>
        <color rgb="FFC6E5E3"/>
        <color rgb="FFF96167"/>
      </colorScale>
    </cfRule>
  </conditionalFormatting>
  <conditionalFormatting sqref="B71:E80">
    <cfRule type="colorScale" priority="6">
      <colorScale>
        <cfvo type="min" val="0"/>
        <cfvo type="max" val="0"/>
        <color rgb="FFC6E5E3"/>
        <color rgb="FFF9616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5"/>
    <col collapsed="false" customWidth="true" hidden="false" outlineLevel="0" max="5" min="5" style="0" width="22"/>
    <col collapsed="false" customWidth="true" hidden="false" outlineLevel="0" max="7" min="6" style="0" width="20"/>
    <col collapsed="false" customWidth="true" hidden="false" outlineLevel="0" max="8" min="8" style="0" width="22"/>
  </cols>
  <sheetData>
    <row r="1" customFormat="false" ht="30" hidden="false" customHeight="true" outlineLevel="0" collapsed="false">
      <c r="A1" s="1" t="s">
        <v>36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37</v>
      </c>
      <c r="B2" s="2"/>
      <c r="C2" s="2"/>
      <c r="D2" s="2"/>
      <c r="E2" s="2"/>
      <c r="F2" s="2"/>
      <c r="G2" s="2"/>
      <c r="H2" s="2"/>
    </row>
    <row r="4" customFormat="false" ht="16.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23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7</v>
      </c>
      <c r="E5" s="4" t="s">
        <v>8</v>
      </c>
      <c r="F5" s="4" t="s">
        <v>38</v>
      </c>
      <c r="G5" s="4" t="s">
        <v>39</v>
      </c>
      <c r="H5" s="4" t="s">
        <v>40</v>
      </c>
    </row>
    <row r="6" customFormat="false" ht="15" hidden="false" customHeight="false" outlineLevel="0" collapsed="false">
      <c r="A6" s="5" t="n">
        <v>2022</v>
      </c>
      <c r="B6" s="6" t="n">
        <f aca="false">SUMIF(Base_Majoration!$A$2:$A$21,A6,Base_Majoration!$C$2:$C$21)</f>
        <v>5852</v>
      </c>
      <c r="C6" s="7" t="n">
        <f aca="false">SUMIF(Base_Majoration!$A$2:$A$21,A6,Base_Majoration!$D$2:$D$21)</f>
        <v>3629802.84</v>
      </c>
      <c r="D6" s="8" t="n">
        <f aca="false">SUMPRODUCT((Base_Majoration!$A$2:$A$21=A6)*Base_Majoration!$C$2:$C$21*Base_Majoration!$E$2:$E$21)/B6</f>
        <v>1.03476982228298</v>
      </c>
      <c r="E6" s="8" t="n">
        <f aca="false">SUMPRODUCT((Base_Majoration!$A$2:$A$21=A6)*Base_Majoration!$C$2:$C$21*Base_Majoration!$F$2:$F$21)/B6</f>
        <v>0.819251982228298</v>
      </c>
      <c r="F6" s="6" t="n">
        <f aca="false">SUMIF(Base_Majoration!$A$2:$A$21,A6,Base_Majoration!$I$2:$I$21)</f>
        <v>1181</v>
      </c>
      <c r="G6" s="9" t="n">
        <f aca="false">SUMPRODUCT((Base_Majoration!$A$2:$A$21=A6)*Base_Majoration!$C$2:$C$21*Base_Majoration!$J$2:$J$21)/B6</f>
        <v>20.1800222146275</v>
      </c>
      <c r="H6" s="9" t="n">
        <f aca="false">SUMPRODUCT((Base_Majoration!$A$2:$A$21=A6)*Base_Majoration!$C$2:$C$21*Base_Majoration!$K$2:$K$21)/B6</f>
        <v>6.51014524948736</v>
      </c>
    </row>
    <row r="7" customFormat="false" ht="15" hidden="false" customHeight="false" outlineLevel="0" collapsed="false">
      <c r="A7" s="10" t="n">
        <v>2023</v>
      </c>
      <c r="B7" s="11" t="n">
        <f aca="false">SUMIF(Base_Majoration!$A$2:$A$21,A7,Base_Majoration!$C$2:$C$21)</f>
        <v>6152</v>
      </c>
      <c r="C7" s="12" t="n">
        <f aca="false">SUMIF(Base_Majoration!$A$2:$A$21,A7,Base_Majoration!$D$2:$D$21)</f>
        <v>3808730.44</v>
      </c>
      <c r="D7" s="13" t="n">
        <f aca="false">SUMPRODUCT((Base_Majoration!$A$2:$A$21=A7)*Base_Majoration!$C$2:$C$21*Base_Majoration!$E$2:$E$21)/B7</f>
        <v>1.05227851105332</v>
      </c>
      <c r="E7" s="13" t="n">
        <f aca="false">SUMPRODUCT((Base_Majoration!$A$2:$A$21=A7)*Base_Majoration!$C$2:$C$21*Base_Majoration!$F$2:$F$21)/B7</f>
        <v>0.781312109882965</v>
      </c>
      <c r="F7" s="11" t="n">
        <f aca="false">SUMIF(Base_Majoration!$A$2:$A$21,A7,Base_Majoration!$I$2:$I$21)</f>
        <v>575</v>
      </c>
      <c r="G7" s="14" t="n">
        <f aca="false">SUMPRODUCT((Base_Majoration!$A$2:$A$21=A7)*Base_Majoration!$C$2:$C$21*Base_Majoration!$J$2:$J$21)/B7</f>
        <v>9.35006827048114</v>
      </c>
      <c r="H7" s="14" t="n">
        <f aca="false">SUMPRODUCT((Base_Majoration!$A$2:$A$21=A7)*Base_Majoration!$C$2:$C$21*Base_Majoration!$K$2:$K$21)/B7</f>
        <v>6.89258452535761</v>
      </c>
    </row>
    <row r="8" customFormat="false" ht="15" hidden="false" customHeight="false" outlineLevel="0" collapsed="false">
      <c r="A8" s="5" t="n">
        <v>2024</v>
      </c>
      <c r="B8" s="6" t="n">
        <f aca="false">SUMIF(Base_Majoration!$A$2:$A$21,A8,Base_Majoration!$C$2:$C$21)</f>
        <v>5095</v>
      </c>
      <c r="C8" s="7" t="n">
        <f aca="false">SUMIF(Base_Majoration!$A$2:$A$21,A8,Base_Majoration!$D$2:$D$21)</f>
        <v>3433842.81</v>
      </c>
      <c r="D8" s="8" t="n">
        <f aca="false">SUMPRODUCT((Base_Majoration!$A$2:$A$21=A8)*Base_Majoration!$C$2:$C$21*Base_Majoration!$E$2:$E$21)/B8</f>
        <v>1.07369077526987</v>
      </c>
      <c r="E8" s="8" t="n">
        <f aca="false">SUMPRODUCT((Base_Majoration!$A$2:$A$21=A8)*Base_Majoration!$C$2:$C$21*Base_Majoration!$F$2:$F$21)/B8</f>
        <v>0.705192973503435</v>
      </c>
      <c r="F8" s="6" t="n">
        <f aca="false">SUMIF(Base_Majoration!$A$2:$A$21,A8,Base_Majoration!$I$2:$I$21)</f>
        <v>835</v>
      </c>
      <c r="G8" s="9" t="n">
        <f aca="false">SUMPRODUCT((Base_Majoration!$A$2:$A$21=A8)*Base_Majoration!$C$2:$C$21*Base_Majoration!$J$2:$J$21)/B8</f>
        <v>16.3901786064769</v>
      </c>
      <c r="H8" s="9" t="n">
        <f aca="false">SUMPRODUCT((Base_Majoration!$A$2:$A$21=A8)*Base_Majoration!$C$2:$C$21*Base_Majoration!$K$2:$K$21)/B8</f>
        <v>7.16488518155054</v>
      </c>
    </row>
    <row r="9" customFormat="false" ht="15" hidden="false" customHeight="false" outlineLevel="0" collapsed="false">
      <c r="A9" s="10" t="n">
        <v>2025</v>
      </c>
      <c r="B9" s="11" t="n">
        <f aca="false">SUMIF(Base_Majoration!$A$2:$A$21,A9,Base_Majoration!$C$2:$C$21)</f>
        <v>21831</v>
      </c>
      <c r="C9" s="12" t="n">
        <f aca="false">SUMIF(Base_Majoration!$A$2:$A$21,A9,Base_Majoration!$D$2:$D$21)</f>
        <v>16680605.65</v>
      </c>
      <c r="D9" s="13" t="n">
        <f aca="false">SUMPRODUCT((Base_Majoration!$A$2:$A$21=A9)*Base_Majoration!$C$2:$C$21*Base_Majoration!$E$2:$E$21)/B9</f>
        <v>1.06975723970501</v>
      </c>
      <c r="E9" s="13" t="n">
        <f aca="false">SUMPRODUCT((Base_Majoration!$A$2:$A$21=A9)*Base_Majoration!$C$2:$C$21*Base_Majoration!$F$2:$F$21)/B9</f>
        <v>0.65492317346892</v>
      </c>
      <c r="F9" s="11" t="n">
        <f aca="false">SUMIF(Base_Majoration!$A$2:$A$21,A9,Base_Majoration!$I$2:$I$21)</f>
        <v>2797</v>
      </c>
      <c r="G9" s="14" t="n">
        <f aca="false">SUMPRODUCT((Base_Majoration!$A$2:$A$21=A9)*Base_Majoration!$C$2:$C$21*Base_Majoration!$J$2:$J$21)/B9</f>
        <v>12.8143722229857</v>
      </c>
      <c r="H9" s="14" t="n">
        <f aca="false">SUMPRODUCT((Base_Majoration!$A$2:$A$21=A9)*Base_Majoration!$C$2:$C$21*Base_Majoration!$K$2:$K$21)/B9</f>
        <v>8.19074710274381</v>
      </c>
    </row>
    <row r="12" customFormat="false" ht="16.15" hidden="false" customHeight="false" outlineLevel="0" collapsed="false">
      <c r="A12" s="3" t="s">
        <v>41</v>
      </c>
      <c r="B12" s="3"/>
      <c r="C12" s="3"/>
      <c r="D12" s="3"/>
      <c r="E12" s="3"/>
      <c r="F12" s="3"/>
    </row>
    <row r="13" customFormat="false" ht="15" hidden="false" customHeight="false" outlineLevel="0" collapsed="false">
      <c r="A13" s="4" t="s">
        <v>42</v>
      </c>
      <c r="B13" s="4" t="s">
        <v>14</v>
      </c>
      <c r="C13" s="4" t="s">
        <v>15</v>
      </c>
      <c r="D13" s="4" t="s">
        <v>16</v>
      </c>
      <c r="E13" s="4" t="s">
        <v>17</v>
      </c>
      <c r="F13" s="4" t="s">
        <v>18</v>
      </c>
      <c r="G13" s="4" t="s">
        <v>19</v>
      </c>
    </row>
    <row r="14" customFormat="false" ht="15" hidden="false" customHeight="false" outlineLevel="0" collapsed="false">
      <c r="A14" s="24" t="n">
        <v>-0.02</v>
      </c>
      <c r="B14" s="6" t="n">
        <f aca="false">SUMIFS(Base_Majoration!$C$2:$C$21,Base_Majoration!$A$2:$A$21,2022,Base_Majoration!$B$2:$B$21,$A14)</f>
        <v>1158</v>
      </c>
      <c r="C14" s="6" t="n">
        <f aca="false">SUMIFS(Base_Majoration!$C$2:$C$21,Base_Majoration!$A$2:$A$21,2023,Base_Majoration!$B$2:$B$21,$A14)</f>
        <v>1232</v>
      </c>
      <c r="D14" s="6" t="n">
        <f aca="false">SUMIFS(Base_Majoration!$C$2:$C$21,Base_Majoration!$A$2:$A$21,2024,Base_Majoration!$B$2:$B$21,$A14)</f>
        <v>958</v>
      </c>
      <c r="E14" s="6" t="n">
        <f aca="false">SUMIFS(Base_Majoration!$C$2:$C$21,Base_Majoration!$A$2:$A$21,2025,Base_Majoration!$B$2:$B$21,$A14)</f>
        <v>4304</v>
      </c>
      <c r="F14" s="6" t="n">
        <f aca="false">SUM(B14:E14)</f>
        <v>7652</v>
      </c>
      <c r="G14" s="16" t="n">
        <f aca="false">F14/$F$19</f>
        <v>0.196557924479836</v>
      </c>
    </row>
    <row r="15" customFormat="false" ht="15" hidden="false" customHeight="false" outlineLevel="0" collapsed="false">
      <c r="A15" s="25" t="n">
        <v>-0.01</v>
      </c>
      <c r="B15" s="11" t="n">
        <f aca="false">SUMIFS(Base_Majoration!$C$2:$C$21,Base_Majoration!$A$2:$A$21,2022,Base_Majoration!$B$2:$B$21,$A15)</f>
        <v>1145</v>
      </c>
      <c r="C15" s="11" t="n">
        <f aca="false">SUMIFS(Base_Majoration!$C$2:$C$21,Base_Majoration!$A$2:$A$21,2023,Base_Majoration!$B$2:$B$21,$A15)</f>
        <v>1229</v>
      </c>
      <c r="D15" s="11" t="n">
        <f aca="false">SUMIFS(Base_Majoration!$C$2:$C$21,Base_Majoration!$A$2:$A$21,2024,Base_Majoration!$B$2:$B$21,$A15)</f>
        <v>1028</v>
      </c>
      <c r="E15" s="11" t="n">
        <f aca="false">SUMIFS(Base_Majoration!$C$2:$C$21,Base_Majoration!$A$2:$A$21,2025,Base_Majoration!$B$2:$B$21,$A15)</f>
        <v>4373</v>
      </c>
      <c r="F15" s="11" t="n">
        <f aca="false">SUM(B15:E15)</f>
        <v>7775</v>
      </c>
      <c r="G15" s="18" t="n">
        <f aca="false">F15/$F$19</f>
        <v>0.199717441561778</v>
      </c>
    </row>
    <row r="16" customFormat="false" ht="15" hidden="false" customHeight="false" outlineLevel="0" collapsed="false">
      <c r="A16" s="24" t="n">
        <v>0</v>
      </c>
      <c r="B16" s="6" t="n">
        <f aca="false">SUMIFS(Base_Majoration!$C$2:$C$21,Base_Majoration!$A$2:$A$21,2022,Base_Majoration!$B$2:$B$21,$A16)</f>
        <v>1164</v>
      </c>
      <c r="C16" s="6" t="n">
        <f aca="false">SUMIFS(Base_Majoration!$C$2:$C$21,Base_Majoration!$A$2:$A$21,2023,Base_Majoration!$B$2:$B$21,$A16)</f>
        <v>1254</v>
      </c>
      <c r="D16" s="6" t="n">
        <f aca="false">SUMIFS(Base_Majoration!$C$2:$C$21,Base_Majoration!$A$2:$A$21,2024,Base_Majoration!$B$2:$B$21,$A16)</f>
        <v>1045</v>
      </c>
      <c r="E16" s="6" t="n">
        <f aca="false">SUMIFS(Base_Majoration!$C$2:$C$21,Base_Majoration!$A$2:$A$21,2025,Base_Majoration!$B$2:$B$21,$A16)</f>
        <v>4322</v>
      </c>
      <c r="F16" s="6" t="n">
        <f aca="false">SUM(B16:E16)</f>
        <v>7785</v>
      </c>
      <c r="G16" s="16" t="n">
        <f aca="false">F16/$F$19</f>
        <v>0.199974312869253</v>
      </c>
    </row>
    <row r="17" customFormat="false" ht="15" hidden="false" customHeight="false" outlineLevel="0" collapsed="false">
      <c r="A17" s="25" t="n">
        <v>0.01</v>
      </c>
      <c r="B17" s="11" t="n">
        <f aca="false">SUMIFS(Base_Majoration!$C$2:$C$21,Base_Majoration!$A$2:$A$21,2022,Base_Majoration!$B$2:$B$21,$A17)</f>
        <v>1183</v>
      </c>
      <c r="C17" s="11" t="n">
        <f aca="false">SUMIFS(Base_Majoration!$C$2:$C$21,Base_Majoration!$A$2:$A$21,2023,Base_Majoration!$B$2:$B$21,$A17)</f>
        <v>1224</v>
      </c>
      <c r="D17" s="11" t="n">
        <f aca="false">SUMIFS(Base_Majoration!$C$2:$C$21,Base_Majoration!$A$2:$A$21,2024,Base_Majoration!$B$2:$B$21,$A17)</f>
        <v>986</v>
      </c>
      <c r="E17" s="11" t="n">
        <f aca="false">SUMIFS(Base_Majoration!$C$2:$C$21,Base_Majoration!$A$2:$A$21,2025,Base_Majoration!$B$2:$B$21,$A17)</f>
        <v>4382</v>
      </c>
      <c r="F17" s="11" t="n">
        <f aca="false">SUM(B17:E17)</f>
        <v>7775</v>
      </c>
      <c r="G17" s="18" t="n">
        <f aca="false">F17/$F$19</f>
        <v>0.199717441561778</v>
      </c>
    </row>
    <row r="18" customFormat="false" ht="15" hidden="false" customHeight="false" outlineLevel="0" collapsed="false">
      <c r="A18" s="24" t="n">
        <v>0.02</v>
      </c>
      <c r="B18" s="6" t="n">
        <f aca="false">SUMIFS(Base_Majoration!$C$2:$C$21,Base_Majoration!$A$2:$A$21,2022,Base_Majoration!$B$2:$B$21,$A18)</f>
        <v>1202</v>
      </c>
      <c r="C18" s="6" t="n">
        <f aca="false">SUMIFS(Base_Majoration!$C$2:$C$21,Base_Majoration!$A$2:$A$21,2023,Base_Majoration!$B$2:$B$21,$A18)</f>
        <v>1213</v>
      </c>
      <c r="D18" s="6" t="n">
        <f aca="false">SUMIFS(Base_Majoration!$C$2:$C$21,Base_Majoration!$A$2:$A$21,2024,Base_Majoration!$B$2:$B$21,$A18)</f>
        <v>1078</v>
      </c>
      <c r="E18" s="6" t="n">
        <f aca="false">SUMIFS(Base_Majoration!$C$2:$C$21,Base_Majoration!$A$2:$A$21,2025,Base_Majoration!$B$2:$B$21,$A18)</f>
        <v>4450</v>
      </c>
      <c r="F18" s="6" t="n">
        <f aca="false">SUM(B18:E18)</f>
        <v>7943</v>
      </c>
      <c r="G18" s="16" t="n">
        <f aca="false">F18/$F$19</f>
        <v>0.204032879527357</v>
      </c>
    </row>
    <row r="19" customFormat="false" ht="15" hidden="false" customHeight="false" outlineLevel="0" collapsed="false">
      <c r="A19" s="26" t="s">
        <v>30</v>
      </c>
      <c r="B19" s="20" t="n">
        <f aca="false">SUM(B14:B18)</f>
        <v>5852</v>
      </c>
      <c r="C19" s="20" t="n">
        <f aca="false">SUM(C14:C18)</f>
        <v>6152</v>
      </c>
      <c r="D19" s="20" t="n">
        <f aca="false">SUM(D14:D18)</f>
        <v>5095</v>
      </c>
      <c r="E19" s="20" t="n">
        <f aca="false">SUM(E14:E18)</f>
        <v>21831</v>
      </c>
      <c r="F19" s="20" t="n">
        <f aca="false">SUM(F14:F18)</f>
        <v>38930</v>
      </c>
      <c r="G19" s="21"/>
    </row>
    <row r="22" customFormat="false" ht="16.15" hidden="false" customHeight="false" outlineLevel="0" collapsed="false">
      <c r="A22" s="3" t="s">
        <v>43</v>
      </c>
      <c r="B22" s="3"/>
      <c r="C22" s="3"/>
      <c r="D22" s="3"/>
      <c r="E22" s="3"/>
      <c r="F22" s="3"/>
    </row>
    <row r="23" customFormat="false" ht="15" hidden="false" customHeight="false" outlineLevel="0" collapsed="false">
      <c r="A23" s="4" t="s">
        <v>42</v>
      </c>
      <c r="B23" s="4" t="s">
        <v>14</v>
      </c>
      <c r="C23" s="4" t="s">
        <v>15</v>
      </c>
      <c r="D23" s="4" t="s">
        <v>16</v>
      </c>
      <c r="E23" s="4" t="s">
        <v>17</v>
      </c>
      <c r="F23" s="4" t="s">
        <v>18</v>
      </c>
      <c r="G23" s="4" t="s">
        <v>19</v>
      </c>
    </row>
    <row r="24" customFormat="false" ht="15" hidden="false" customHeight="false" outlineLevel="0" collapsed="false">
      <c r="A24" s="24" t="n">
        <v>-0.02</v>
      </c>
      <c r="B24" s="7" t="n">
        <f aca="false">SUMIFS(Base_Majoration!$D$2:$D$21,Base_Majoration!$A$2:$A$21,2022,Base_Majoration!$B$2:$B$21,$A24)</f>
        <v>711310.94</v>
      </c>
      <c r="C24" s="7" t="n">
        <f aca="false">SUMIFS(Base_Majoration!$D$2:$D$21,Base_Majoration!$A$2:$A$21,2023,Base_Majoration!$B$2:$B$21,$A24)</f>
        <v>752901.16</v>
      </c>
      <c r="D24" s="7" t="n">
        <f aca="false">SUMIFS(Base_Majoration!$D$2:$D$21,Base_Majoration!$A$2:$A$21,2024,Base_Majoration!$B$2:$B$21,$A24)</f>
        <v>641495.13</v>
      </c>
      <c r="E24" s="7" t="n">
        <f aca="false">SUMIFS(Base_Majoration!$D$2:$D$21,Base_Majoration!$A$2:$A$21,2025,Base_Majoration!$B$2:$B$21,$A24)</f>
        <v>3201885.84</v>
      </c>
      <c r="F24" s="7" t="n">
        <f aca="false">SUM(B24:E24)</f>
        <v>5307593.07</v>
      </c>
      <c r="G24" s="16" t="n">
        <f aca="false">F24/$F$29</f>
        <v>0.192632257375423</v>
      </c>
    </row>
    <row r="25" customFormat="false" ht="15" hidden="false" customHeight="false" outlineLevel="0" collapsed="false">
      <c r="A25" s="25" t="n">
        <v>-0.01</v>
      </c>
      <c r="B25" s="12" t="n">
        <f aca="false">SUMIFS(Base_Majoration!$D$2:$D$21,Base_Majoration!$A$2:$A$21,2022,Base_Majoration!$B$2:$B$21,$A25)</f>
        <v>689554.7</v>
      </c>
      <c r="C25" s="12" t="n">
        <f aca="false">SUMIFS(Base_Majoration!$D$2:$D$21,Base_Majoration!$A$2:$A$21,2023,Base_Majoration!$B$2:$B$21,$A25)</f>
        <v>750670.04</v>
      </c>
      <c r="D25" s="12" t="n">
        <f aca="false">SUMIFS(Base_Majoration!$D$2:$D$21,Base_Majoration!$A$2:$A$21,2024,Base_Majoration!$B$2:$B$21,$A25)</f>
        <v>678667.36</v>
      </c>
      <c r="E25" s="12" t="n">
        <f aca="false">SUMIFS(Base_Majoration!$D$2:$D$21,Base_Majoration!$A$2:$A$21,2025,Base_Majoration!$B$2:$B$21,$A25)</f>
        <v>3298961.56</v>
      </c>
      <c r="F25" s="12" t="n">
        <f aca="false">SUM(B25:E25)</f>
        <v>5417853.66</v>
      </c>
      <c r="G25" s="18" t="n">
        <f aca="false">F25/$F$29</f>
        <v>0.19663402353781</v>
      </c>
    </row>
    <row r="26" customFormat="false" ht="15" hidden="false" customHeight="false" outlineLevel="0" collapsed="false">
      <c r="A26" s="24" t="n">
        <v>0</v>
      </c>
      <c r="B26" s="7" t="n">
        <f aca="false">SUMIFS(Base_Majoration!$D$2:$D$21,Base_Majoration!$A$2:$A$21,2022,Base_Majoration!$B$2:$B$21,$A26)</f>
        <v>725753.17</v>
      </c>
      <c r="C26" s="7" t="n">
        <f aca="false">SUMIFS(Base_Majoration!$D$2:$D$21,Base_Majoration!$A$2:$A$21,2023,Base_Majoration!$B$2:$B$21,$A26)</f>
        <v>766789.35</v>
      </c>
      <c r="D26" s="7" t="n">
        <f aca="false">SUMIFS(Base_Majoration!$D$2:$D$21,Base_Majoration!$A$2:$A$21,2024,Base_Majoration!$B$2:$B$21,$A26)</f>
        <v>703196.34</v>
      </c>
      <c r="E26" s="7" t="n">
        <f aca="false">SUMIFS(Base_Majoration!$D$2:$D$21,Base_Majoration!$A$2:$A$21,2025,Base_Majoration!$B$2:$B$21,$A26)</f>
        <v>3308101.99</v>
      </c>
      <c r="F26" s="7" t="n">
        <f aca="false">SUM(B26:E26)</f>
        <v>5503840.85</v>
      </c>
      <c r="G26" s="16" t="n">
        <f aca="false">F26/$F$29</f>
        <v>0.199754817897252</v>
      </c>
    </row>
    <row r="27" customFormat="false" ht="15" hidden="false" customHeight="false" outlineLevel="0" collapsed="false">
      <c r="A27" s="25" t="n">
        <v>0.01</v>
      </c>
      <c r="B27" s="12" t="n">
        <f aca="false">SUMIFS(Base_Majoration!$D$2:$D$21,Base_Majoration!$A$2:$A$21,2022,Base_Majoration!$B$2:$B$21,$A27)</f>
        <v>743643.87</v>
      </c>
      <c r="C27" s="12" t="n">
        <f aca="false">SUMIFS(Base_Majoration!$D$2:$D$21,Base_Majoration!$A$2:$A$21,2023,Base_Majoration!$B$2:$B$21,$A27)</f>
        <v>762878.78</v>
      </c>
      <c r="D27" s="12" t="n">
        <f aca="false">SUMIFS(Base_Majoration!$D$2:$D$21,Base_Majoration!$A$2:$A$21,2024,Base_Majoration!$B$2:$B$21,$A27)</f>
        <v>665600.99</v>
      </c>
      <c r="E27" s="12" t="n">
        <f aca="false">SUMIFS(Base_Majoration!$D$2:$D$21,Base_Majoration!$A$2:$A$21,2025,Base_Majoration!$B$2:$B$21,$A27)</f>
        <v>3391536.26</v>
      </c>
      <c r="F27" s="12" t="n">
        <f aca="false">SUM(B27:E27)</f>
        <v>5563659.9</v>
      </c>
      <c r="G27" s="18" t="n">
        <f aca="false">F27/$F$29</f>
        <v>0.201925873304774</v>
      </c>
    </row>
    <row r="28" customFormat="false" ht="15" hidden="false" customHeight="false" outlineLevel="0" collapsed="false">
      <c r="A28" s="24" t="n">
        <v>0.02</v>
      </c>
      <c r="B28" s="7" t="n">
        <f aca="false">SUMIFS(Base_Majoration!$D$2:$D$21,Base_Majoration!$A$2:$A$21,2022,Base_Majoration!$B$2:$B$21,$A28)</f>
        <v>759540.16</v>
      </c>
      <c r="C28" s="7" t="n">
        <f aca="false">SUMIFS(Base_Majoration!$D$2:$D$21,Base_Majoration!$A$2:$A$21,2023,Base_Majoration!$B$2:$B$21,$A28)</f>
        <v>775491.11</v>
      </c>
      <c r="D28" s="7" t="n">
        <f aca="false">SUMIFS(Base_Majoration!$D$2:$D$21,Base_Majoration!$A$2:$A$21,2024,Base_Majoration!$B$2:$B$21,$A28)</f>
        <v>744882.99</v>
      </c>
      <c r="E28" s="7" t="n">
        <f aca="false">SUMIFS(Base_Majoration!$D$2:$D$21,Base_Majoration!$A$2:$A$21,2025,Base_Majoration!$B$2:$B$21,$A28)</f>
        <v>3480120</v>
      </c>
      <c r="F28" s="7" t="n">
        <f aca="false">SUM(B28:E28)</f>
        <v>5760034.26</v>
      </c>
      <c r="G28" s="16" t="n">
        <f aca="false">F28/$F$29</f>
        <v>0.209053027884742</v>
      </c>
    </row>
    <row r="29" customFormat="false" ht="15" hidden="false" customHeight="false" outlineLevel="0" collapsed="false">
      <c r="A29" s="26" t="s">
        <v>30</v>
      </c>
      <c r="B29" s="22" t="n">
        <f aca="false">SUM(B24:B28)</f>
        <v>3629802.84</v>
      </c>
      <c r="C29" s="22" t="n">
        <f aca="false">SUM(C24:C28)</f>
        <v>3808730.44</v>
      </c>
      <c r="D29" s="22" t="n">
        <f aca="false">SUM(D24:D28)</f>
        <v>3433842.81</v>
      </c>
      <c r="E29" s="22" t="n">
        <f aca="false">SUM(E24:E28)</f>
        <v>16680605.65</v>
      </c>
      <c r="F29" s="22" t="n">
        <f aca="false">SUM(F24:F28)</f>
        <v>27552981.74</v>
      </c>
      <c r="G29" s="21"/>
    </row>
    <row r="32" customFormat="false" ht="16.15" hidden="false" customHeight="false" outlineLevel="0" collapsed="false">
      <c r="A32" s="3" t="s">
        <v>44</v>
      </c>
      <c r="B32" s="3"/>
      <c r="C32" s="3"/>
      <c r="D32" s="3"/>
      <c r="E32" s="3"/>
      <c r="F32" s="3"/>
    </row>
    <row r="33" customFormat="false" ht="15" hidden="false" customHeight="false" outlineLevel="0" collapsed="false">
      <c r="A33" s="23" t="s">
        <v>33</v>
      </c>
    </row>
    <row r="34" customFormat="false" ht="15" hidden="false" customHeight="false" outlineLevel="0" collapsed="false">
      <c r="A34" s="4" t="s">
        <v>42</v>
      </c>
      <c r="B34" s="4" t="s">
        <v>14</v>
      </c>
      <c r="C34" s="4" t="s">
        <v>15</v>
      </c>
      <c r="D34" s="4" t="s">
        <v>16</v>
      </c>
      <c r="E34" s="4" t="s">
        <v>17</v>
      </c>
    </row>
    <row r="35" customFormat="false" ht="15" hidden="false" customHeight="false" outlineLevel="0" collapsed="false">
      <c r="A35" s="25" t="n">
        <v>-0.02</v>
      </c>
      <c r="B35" s="13" t="n">
        <f aca="false">IFERROR(SUMIFS(Base_Majoration!$E$2:$E$21,Base_Majoration!$A$2:$A$21,2022,Base_Majoration!$B$2:$B$21,$A35),"")</f>
        <v>1.0151</v>
      </c>
      <c r="C35" s="13" t="n">
        <f aca="false">IFERROR(SUMIFS(Base_Majoration!$E$2:$E$21,Base_Majoration!$A$2:$A$21,2023,Base_Majoration!$B$2:$B$21,$A35),"")</f>
        <v>1.0332</v>
      </c>
      <c r="D35" s="13" t="n">
        <f aca="false">IFERROR(SUMIFS(Base_Majoration!$E$2:$E$21,Base_Majoration!$A$2:$A$21,2024,Base_Majoration!$B$2:$B$21,$A35),"")</f>
        <v>1.0541</v>
      </c>
      <c r="E35" s="13" t="n">
        <f aca="false">IFERROR(SUMIFS(Base_Majoration!$E$2:$E$21,Base_Majoration!$A$2:$A$21,2025,Base_Majoration!$B$2:$B$21,$A35),"")</f>
        <v>1.0498</v>
      </c>
    </row>
    <row r="36" customFormat="false" ht="15" hidden="false" customHeight="false" outlineLevel="0" collapsed="false">
      <c r="A36" s="24" t="n">
        <v>-0.01</v>
      </c>
      <c r="B36" s="8" t="n">
        <f aca="false">IFERROR(SUMIFS(Base_Majoration!$E$2:$E$21,Base_Majoration!$A$2:$A$21,2022,Base_Majoration!$B$2:$B$21,$A36),"")</f>
        <v>1.0247</v>
      </c>
      <c r="C36" s="8" t="n">
        <f aca="false">IFERROR(SUMIFS(Base_Majoration!$E$2:$E$21,Base_Majoration!$A$2:$A$21,2023,Base_Majoration!$B$2:$B$21,$A36),"")</f>
        <v>1.0439</v>
      </c>
      <c r="D36" s="8" t="n">
        <f aca="false">IFERROR(SUMIFS(Base_Majoration!$E$2:$E$21,Base_Majoration!$A$2:$A$21,2024,Base_Majoration!$B$2:$B$21,$A36),"")</f>
        <v>1.0635</v>
      </c>
      <c r="E36" s="8" t="n">
        <f aca="false">IFERROR(SUMIFS(Base_Majoration!$E$2:$E$21,Base_Majoration!$A$2:$A$21,2025,Base_Majoration!$B$2:$B$21,$A36),"")</f>
        <v>1.0595</v>
      </c>
    </row>
    <row r="37" customFormat="false" ht="15" hidden="false" customHeight="false" outlineLevel="0" collapsed="false">
      <c r="A37" s="25" t="n">
        <v>0</v>
      </c>
      <c r="B37" s="13" t="n">
        <f aca="false">IFERROR(SUMIFS(Base_Majoration!$E$2:$E$21,Base_Majoration!$A$2:$A$21,2022,Base_Majoration!$B$2:$B$21,$A37),"")</f>
        <v>1.0348</v>
      </c>
      <c r="C37" s="13" t="n">
        <f aca="false">IFERROR(SUMIFS(Base_Majoration!$E$2:$E$21,Base_Majoration!$A$2:$A$21,2023,Base_Majoration!$B$2:$B$21,$A37),"")</f>
        <v>1.0529</v>
      </c>
      <c r="D37" s="13" t="n">
        <f aca="false">IFERROR(SUMIFS(Base_Majoration!$E$2:$E$21,Base_Majoration!$A$2:$A$21,2024,Base_Majoration!$B$2:$B$21,$A37),"")</f>
        <v>1.0733</v>
      </c>
      <c r="E37" s="13" t="n">
        <f aca="false">IFERROR(SUMIFS(Base_Majoration!$E$2:$E$21,Base_Majoration!$A$2:$A$21,2025,Base_Majoration!$B$2:$B$21,$A37),"")</f>
        <v>1.0695</v>
      </c>
    </row>
    <row r="38" customFormat="false" ht="15" hidden="false" customHeight="false" outlineLevel="0" collapsed="false">
      <c r="A38" s="24" t="n">
        <v>0.01</v>
      </c>
      <c r="B38" s="8" t="n">
        <f aca="false">IFERROR(SUMIFS(Base_Majoration!$E$2:$E$21,Base_Majoration!$A$2:$A$21,2022,Base_Majoration!$B$2:$B$21,$A38),"")</f>
        <v>1.0441</v>
      </c>
      <c r="C38" s="8" t="n">
        <f aca="false">IFERROR(SUMIFS(Base_Majoration!$E$2:$E$21,Base_Majoration!$A$2:$A$21,2023,Base_Majoration!$B$2:$B$21,$A38),"")</f>
        <v>1.0612</v>
      </c>
      <c r="D38" s="8" t="n">
        <f aca="false">IFERROR(SUMIFS(Base_Majoration!$E$2:$E$21,Base_Majoration!$A$2:$A$21,2024,Base_Majoration!$B$2:$B$21,$A38),"")</f>
        <v>1.0832</v>
      </c>
      <c r="E38" s="8" t="n">
        <f aca="false">IFERROR(SUMIFS(Base_Majoration!$E$2:$E$21,Base_Majoration!$A$2:$A$21,2025,Base_Majoration!$B$2:$B$21,$A38),"")</f>
        <v>1.0798</v>
      </c>
    </row>
    <row r="39" customFormat="false" ht="15" hidden="false" customHeight="false" outlineLevel="0" collapsed="false">
      <c r="A39" s="25" t="n">
        <v>0.02</v>
      </c>
      <c r="B39" s="13" t="n">
        <f aca="false">IFERROR(SUMIFS(Base_Majoration!$E$2:$E$21,Base_Majoration!$A$2:$A$21,2022,Base_Majoration!$B$2:$B$21,$A39),"")</f>
        <v>1.0541</v>
      </c>
      <c r="C39" s="13" t="n">
        <f aca="false">IFERROR(SUMIFS(Base_Majoration!$E$2:$E$21,Base_Majoration!$A$2:$A$21,2023,Base_Majoration!$B$2:$B$21,$A39),"")</f>
        <v>1.0705</v>
      </c>
      <c r="D39" s="13" t="n">
        <f aca="false">IFERROR(SUMIFS(Base_Majoration!$E$2:$E$21,Base_Majoration!$A$2:$A$21,2024,Base_Majoration!$B$2:$B$21,$A39),"")</f>
        <v>1.0925</v>
      </c>
      <c r="E39" s="13" t="n">
        <f aca="false">IFERROR(SUMIFS(Base_Majoration!$E$2:$E$21,Base_Majoration!$A$2:$A$21,2025,Base_Majoration!$B$2:$B$21,$A39),"")</f>
        <v>1.0895</v>
      </c>
    </row>
    <row r="41" customFormat="false" ht="15" hidden="false" customHeight="false" outlineLevel="0" collapsed="false">
      <c r="A41" s="23" t="s">
        <v>45</v>
      </c>
    </row>
    <row r="42" customFormat="false" ht="15" hidden="false" customHeight="false" outlineLevel="0" collapsed="false">
      <c r="A42" s="4" t="s">
        <v>42</v>
      </c>
      <c r="B42" s="4" t="s">
        <v>14</v>
      </c>
      <c r="C42" s="4" t="s">
        <v>15</v>
      </c>
      <c r="D42" s="4" t="s">
        <v>16</v>
      </c>
      <c r="E42" s="4" t="s">
        <v>17</v>
      </c>
    </row>
    <row r="43" customFormat="false" ht="15" hidden="false" customHeight="false" outlineLevel="0" collapsed="false">
      <c r="A43" s="25" t="n">
        <v>-0.02</v>
      </c>
      <c r="B43" s="18" t="n">
        <f aca="false">IFERROR(SUMIFS(Base_Majoration!$F$2:$F$21,Base_Majoration!$A$2:$A$21,2022,Base_Majoration!$B$2:$B$21,$A43),"")</f>
        <v>0.8302</v>
      </c>
      <c r="C43" s="18" t="n">
        <f aca="false">IFERROR(SUMIFS(Base_Majoration!$F$2:$F$21,Base_Majoration!$A$2:$A$21,2023,Base_Majoration!$B$2:$B$21,$A43),"")</f>
        <v>0.7859</v>
      </c>
      <c r="D43" s="18" t="n">
        <f aca="false">IFERROR(SUMIFS(Base_Majoration!$F$2:$F$21,Base_Majoration!$A$2:$A$21,2024,Base_Majoration!$B$2:$B$21,$A43),"")</f>
        <v>0.711</v>
      </c>
      <c r="E43" s="18" t="n">
        <f aca="false">IFERROR(SUMIFS(Base_Majoration!$F$2:$F$21,Base_Majoration!$A$2:$A$21,2025,Base_Majoration!$B$2:$B$21,$A43),"")</f>
        <v>0.6604</v>
      </c>
    </row>
    <row r="44" customFormat="false" ht="15" hidden="false" customHeight="false" outlineLevel="0" collapsed="false">
      <c r="A44" s="24" t="n">
        <v>-0.01</v>
      </c>
      <c r="B44" s="16" t="n">
        <f aca="false">IFERROR(SUMIFS(Base_Majoration!$F$2:$F$21,Base_Majoration!$A$2:$A$21,2022,Base_Majoration!$B$2:$B$21,$A44),"")</f>
        <v>0.8179</v>
      </c>
      <c r="C44" s="16" t="n">
        <f aca="false">IFERROR(SUMIFS(Base_Majoration!$F$2:$F$21,Base_Majoration!$A$2:$A$21,2023,Base_Majoration!$B$2:$B$21,$A44),"")</f>
        <v>0.7855</v>
      </c>
      <c r="D44" s="16" t="n">
        <f aca="false">IFERROR(SUMIFS(Base_Majoration!$F$2:$F$21,Base_Majoration!$A$2:$A$21,2024,Base_Majoration!$B$2:$B$21,$A44),"")</f>
        <v>0.7089</v>
      </c>
      <c r="E44" s="16" t="n">
        <f aca="false">IFERROR(SUMIFS(Base_Majoration!$F$2:$F$21,Base_Majoration!$A$2:$A$21,2025,Base_Majoration!$B$2:$B$21,$A44),"")</f>
        <v>0.6516</v>
      </c>
    </row>
    <row r="45" customFormat="false" ht="15" hidden="false" customHeight="false" outlineLevel="0" collapsed="false">
      <c r="A45" s="25" t="n">
        <v>0</v>
      </c>
      <c r="B45" s="18" t="n">
        <f aca="false">IFERROR(SUMIFS(Base_Majoration!$F$2:$F$21,Base_Majoration!$A$2:$A$21,2022,Base_Majoration!$B$2:$B$21,$A45),"")</f>
        <v>0.8261</v>
      </c>
      <c r="C45" s="18" t="n">
        <f aca="false">IFERROR(SUMIFS(Base_Majoration!$F$2:$F$21,Base_Majoration!$A$2:$A$21,2023,Base_Majoration!$B$2:$B$21,$A45),"")</f>
        <v>0.7837</v>
      </c>
      <c r="D45" s="18" t="n">
        <f aca="false">IFERROR(SUMIFS(Base_Majoration!$F$2:$F$21,Base_Majoration!$A$2:$A$21,2024,Base_Majoration!$B$2:$B$21,$A45),"")</f>
        <v>0.7052</v>
      </c>
      <c r="E45" s="18" t="n">
        <f aca="false">IFERROR(SUMIFS(Base_Majoration!$F$2:$F$21,Base_Majoration!$A$2:$A$21,2025,Base_Majoration!$B$2:$B$21,$A45),"")</f>
        <v>0.6534</v>
      </c>
    </row>
    <row r="46" customFormat="false" ht="15" hidden="false" customHeight="false" outlineLevel="0" collapsed="false">
      <c r="A46" s="24" t="n">
        <v>0.01</v>
      </c>
      <c r="B46" s="16" t="n">
        <f aca="false">IFERROR(SUMIFS(Base_Majoration!$F$2:$F$21,Base_Majoration!$A$2:$A$21,2022,Base_Majoration!$B$2:$B$21,$A46),"")</f>
        <v>0.8121</v>
      </c>
      <c r="C46" s="16" t="n">
        <f aca="false">IFERROR(SUMIFS(Base_Majoration!$F$2:$F$21,Base_Majoration!$A$2:$A$21,2023,Base_Majoration!$B$2:$B$21,$A46),"")</f>
        <v>0.7761</v>
      </c>
      <c r="D46" s="16" t="n">
        <f aca="false">IFERROR(SUMIFS(Base_Majoration!$F$2:$F$21,Base_Majoration!$A$2:$A$21,2024,Base_Majoration!$B$2:$B$21,$A46),"")</f>
        <v>0.7007</v>
      </c>
      <c r="E46" s="16" t="n">
        <f aca="false">IFERROR(SUMIFS(Base_Majoration!$F$2:$F$21,Base_Majoration!$A$2:$A$21,2025,Base_Majoration!$B$2:$B$21,$A46),"")</f>
        <v>0.6553</v>
      </c>
    </row>
    <row r="47" customFormat="false" ht="15" hidden="false" customHeight="false" outlineLevel="0" collapsed="false">
      <c r="A47" s="25" t="n">
        <v>0.02</v>
      </c>
      <c r="B47" s="18" t="n">
        <f aca="false">IFERROR(SUMIFS(Base_Majoration!$F$2:$F$21,Base_Majoration!$A$2:$A$21,2022,Base_Majoration!$B$2:$B$21,$A47),"")</f>
        <v>0.8104</v>
      </c>
      <c r="C47" s="18" t="n">
        <f aca="false">IFERROR(SUMIFS(Base_Majoration!$F$2:$F$21,Base_Majoration!$A$2:$A$21,2023,Base_Majoration!$B$2:$B$21,$A47),"")</f>
        <v>0.7752</v>
      </c>
      <c r="D47" s="18" t="n">
        <f aca="false">IFERROR(SUMIFS(Base_Majoration!$F$2:$F$21,Base_Majoration!$A$2:$A$21,2024,Base_Majoration!$B$2:$B$21,$A47),"")</f>
        <v>0.7006</v>
      </c>
      <c r="E47" s="18" t="n">
        <f aca="false">IFERROR(SUMIFS(Base_Majoration!$F$2:$F$21,Base_Majoration!$A$2:$A$21,2025,Base_Majoration!$B$2:$B$21,$A47),"")</f>
        <v>0.654</v>
      </c>
    </row>
    <row r="49" customFormat="false" ht="15" hidden="false" customHeight="false" outlineLevel="0" collapsed="false">
      <c r="A49" s="23" t="s">
        <v>46</v>
      </c>
    </row>
    <row r="50" customFormat="false" ht="15" hidden="false" customHeight="false" outlineLevel="0" collapsed="false">
      <c r="A50" s="4" t="s">
        <v>42</v>
      </c>
      <c r="B50" s="4" t="s">
        <v>14</v>
      </c>
      <c r="C50" s="4" t="s">
        <v>15</v>
      </c>
      <c r="D50" s="4" t="s">
        <v>16</v>
      </c>
      <c r="E50" s="4" t="s">
        <v>17</v>
      </c>
    </row>
    <row r="51" customFormat="false" ht="15" hidden="false" customHeight="false" outlineLevel="0" collapsed="false">
      <c r="A51" s="25" t="n">
        <v>-0.02</v>
      </c>
      <c r="B51" s="14" t="n">
        <f aca="false">IFERROR(SUMIFS(Base_Majoration!$J$2:$J$21,Base_Majoration!$A$2:$A$21,2022,Base_Majoration!$B$2:$B$21,$A51),"")</f>
        <v>18.05</v>
      </c>
      <c r="C51" s="14" t="n">
        <f aca="false">IFERROR(SUMIFS(Base_Majoration!$J$2:$J$21,Base_Majoration!$A$2:$A$21,2023,Base_Majoration!$B$2:$B$21,$A51),"")</f>
        <v>9.5</v>
      </c>
      <c r="D51" s="14" t="n">
        <f aca="false">IFERROR(SUMIFS(Base_Majoration!$J$2:$J$21,Base_Majoration!$A$2:$A$21,2024,Base_Majoration!$B$2:$B$21,$A51),"")</f>
        <v>17.95</v>
      </c>
      <c r="E51" s="14" t="n">
        <f aca="false">IFERROR(SUMIFS(Base_Majoration!$J$2:$J$21,Base_Majoration!$A$2:$A$21,2025,Base_Majoration!$B$2:$B$21,$A51),"")</f>
        <v>11.78</v>
      </c>
    </row>
    <row r="52" customFormat="false" ht="15" hidden="false" customHeight="false" outlineLevel="0" collapsed="false">
      <c r="A52" s="24" t="n">
        <v>-0.01</v>
      </c>
      <c r="B52" s="9" t="n">
        <f aca="false">IFERROR(SUMIFS(Base_Majoration!$J$2:$J$21,Base_Majoration!$A$2:$A$21,2022,Base_Majoration!$B$2:$B$21,$A52),"")</f>
        <v>20.17</v>
      </c>
      <c r="C52" s="9" t="n">
        <f aca="false">IFERROR(SUMIFS(Base_Majoration!$J$2:$J$21,Base_Majoration!$A$2:$A$21,2023,Base_Majoration!$B$2:$B$21,$A52),"")</f>
        <v>9.85</v>
      </c>
      <c r="D52" s="9" t="n">
        <f aca="false">IFERROR(SUMIFS(Base_Majoration!$J$2:$J$21,Base_Majoration!$A$2:$A$21,2024,Base_Majoration!$B$2:$B$21,$A52),"")</f>
        <v>15.08</v>
      </c>
      <c r="E52" s="9" t="n">
        <f aca="false">IFERROR(SUMIFS(Base_Majoration!$J$2:$J$21,Base_Majoration!$A$2:$A$21,2025,Base_Majoration!$B$2:$B$21,$A52),"")</f>
        <v>12.1</v>
      </c>
    </row>
    <row r="53" customFormat="false" ht="15" hidden="false" customHeight="false" outlineLevel="0" collapsed="false">
      <c r="A53" s="25" t="n">
        <v>0</v>
      </c>
      <c r="B53" s="14" t="n">
        <f aca="false">IFERROR(SUMIFS(Base_Majoration!$J$2:$J$21,Base_Majoration!$A$2:$A$21,2022,Base_Majoration!$B$2:$B$21,$A53),"")</f>
        <v>21.13</v>
      </c>
      <c r="C53" s="14" t="n">
        <f aca="false">IFERROR(SUMIFS(Base_Majoration!$J$2:$J$21,Base_Majoration!$A$2:$A$21,2023,Base_Majoration!$B$2:$B$21,$A53),"")</f>
        <v>10.77</v>
      </c>
      <c r="D53" s="14" t="n">
        <f aca="false">IFERROR(SUMIFS(Base_Majoration!$J$2:$J$21,Base_Majoration!$A$2:$A$21,2024,Base_Majoration!$B$2:$B$21,$A53),"")</f>
        <v>16.08</v>
      </c>
      <c r="E53" s="14" t="n">
        <f aca="false">IFERROR(SUMIFS(Base_Majoration!$J$2:$J$21,Base_Majoration!$A$2:$A$21,2025,Base_Majoration!$B$2:$B$21,$A53),"")</f>
        <v>13.56</v>
      </c>
    </row>
    <row r="54" customFormat="false" ht="15" hidden="false" customHeight="false" outlineLevel="0" collapsed="false">
      <c r="A54" s="24" t="n">
        <v>0.01</v>
      </c>
      <c r="B54" s="9" t="n">
        <f aca="false">IFERROR(SUMIFS(Base_Majoration!$J$2:$J$21,Base_Majoration!$A$2:$A$21,2022,Base_Majoration!$B$2:$B$21,$A54),"")</f>
        <v>19.44</v>
      </c>
      <c r="C54" s="9" t="n">
        <f aca="false">IFERROR(SUMIFS(Base_Majoration!$J$2:$J$21,Base_Majoration!$A$2:$A$21,2023,Base_Majoration!$B$2:$B$21,$A54),"")</f>
        <v>7.52</v>
      </c>
      <c r="D54" s="9" t="n">
        <f aca="false">IFERROR(SUMIFS(Base_Majoration!$J$2:$J$21,Base_Majoration!$A$2:$A$21,2024,Base_Majoration!$B$2:$B$21,$A54),"")</f>
        <v>15.52</v>
      </c>
      <c r="E54" s="9" t="n">
        <f aca="false">IFERROR(SUMIFS(Base_Majoration!$J$2:$J$21,Base_Majoration!$A$2:$A$21,2025,Base_Majoration!$B$2:$B$21,$A54),"")</f>
        <v>13.01</v>
      </c>
    </row>
    <row r="55" customFormat="false" ht="15" hidden="false" customHeight="false" outlineLevel="0" collapsed="false">
      <c r="A55" s="25" t="n">
        <v>0.02</v>
      </c>
      <c r="B55" s="14" t="n">
        <f aca="false">IFERROR(SUMIFS(Base_Majoration!$J$2:$J$21,Base_Majoration!$A$2:$A$21,2022,Base_Majoration!$B$2:$B$21,$A55),"")</f>
        <v>22.05</v>
      </c>
      <c r="C55" s="14" t="n">
        <f aca="false">IFERROR(SUMIFS(Base_Majoration!$J$2:$J$21,Base_Majoration!$A$2:$A$21,2023,Base_Majoration!$B$2:$B$21,$A55),"")</f>
        <v>9.07</v>
      </c>
      <c r="D55" s="14" t="n">
        <f aca="false">IFERROR(SUMIFS(Base_Majoration!$J$2:$J$21,Base_Majoration!$A$2:$A$21,2024,Base_Majoration!$B$2:$B$21,$A55),"")</f>
        <v>17.35</v>
      </c>
      <c r="E55" s="14" t="n">
        <f aca="false">IFERROR(SUMIFS(Base_Majoration!$J$2:$J$21,Base_Majoration!$A$2:$A$21,2025,Base_Majoration!$B$2:$B$21,$A55),"")</f>
        <v>13.6</v>
      </c>
    </row>
  </sheetData>
  <mergeCells count="6">
    <mergeCell ref="A1:H1"/>
    <mergeCell ref="A2:H2"/>
    <mergeCell ref="A4:H4"/>
    <mergeCell ref="A12:F12"/>
    <mergeCell ref="A22:F22"/>
    <mergeCell ref="A32:F32"/>
  </mergeCells>
  <conditionalFormatting sqref="E6:E9">
    <cfRule type="colorScale" priority="2">
      <colorScale>
        <cfvo type="min" val="0"/>
        <cfvo type="max" val="0"/>
        <color rgb="FFC6E5E3"/>
        <color rgb="FFF96167"/>
      </colorScale>
    </cfRule>
  </conditionalFormatting>
  <conditionalFormatting sqref="G6:G9">
    <cfRule type="colorScale" priority="3">
      <colorScale>
        <cfvo type="min" val="0"/>
        <cfvo type="max" val="0"/>
        <color rgb="FFC6E5E3"/>
        <color rgb="FFF96167"/>
      </colorScale>
    </cfRule>
  </conditionalFormatting>
  <conditionalFormatting sqref="B35:E39">
    <cfRule type="colorScale" priority="4">
      <colorScale>
        <cfvo type="min" val="0"/>
        <cfvo type="percentile" val="50"/>
        <cfvo type="max" val="0"/>
        <color rgb="FFE3F2EF"/>
        <color rgb="FFFFF4D6"/>
        <color rgb="FFF96167"/>
      </colorScale>
    </cfRule>
  </conditionalFormatting>
  <conditionalFormatting sqref="B43:E47">
    <cfRule type="colorScale" priority="5">
      <colorScale>
        <cfvo type="min" val="0"/>
        <cfvo type="max" val="0"/>
        <color rgb="FFC6E5E3"/>
        <color rgb="FFF96167"/>
      </colorScale>
    </cfRule>
  </conditionalFormatting>
  <conditionalFormatting sqref="B51:E55">
    <cfRule type="colorScale" priority="6">
      <colorScale>
        <cfvo type="min" val="0"/>
        <cfvo type="max" val="0"/>
        <color rgb="FFC6E5E3"/>
        <color rgb="FFF9616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11"/>
    <col collapsed="false" customWidth="true" hidden="false" outlineLevel="0" max="8" min="8" style="0" width="13"/>
    <col collapsed="false" customWidth="true" hidden="false" outlineLevel="0" max="9" min="9" style="0" width="15"/>
  </cols>
  <sheetData>
    <row r="1" customFormat="false" ht="36" hidden="false" customHeight="true" outlineLevel="0" collapsed="false">
      <c r="A1" s="27" t="s">
        <v>47</v>
      </c>
      <c r="B1" s="27" t="s">
        <v>48</v>
      </c>
      <c r="C1" s="27" t="s">
        <v>49</v>
      </c>
      <c r="D1" s="27" t="s">
        <v>50</v>
      </c>
      <c r="E1" s="27" t="s">
        <v>51</v>
      </c>
      <c r="F1" s="27" t="s">
        <v>52</v>
      </c>
      <c r="G1" s="27" t="s">
        <v>53</v>
      </c>
      <c r="H1" s="27" t="s">
        <v>54</v>
      </c>
      <c r="I1" s="27" t="s">
        <v>55</v>
      </c>
    </row>
    <row r="2" customFormat="false" ht="15" hidden="false" customHeight="false" outlineLevel="0" collapsed="false">
      <c r="A2" s="5" t="n">
        <v>2022</v>
      </c>
      <c r="B2" s="15" t="s">
        <v>20</v>
      </c>
      <c r="C2" s="6" t="n">
        <v>317399</v>
      </c>
      <c r="D2" s="28" t="n">
        <v>811.35</v>
      </c>
      <c r="E2" s="29" t="n">
        <v>210210461.41</v>
      </c>
      <c r="F2" s="8" t="n">
        <v>1.0101</v>
      </c>
      <c r="G2" s="8" t="n">
        <v>0.8019</v>
      </c>
      <c r="H2" s="30" t="n">
        <v>16.08</v>
      </c>
      <c r="I2" s="30" t="n">
        <v>7.45</v>
      </c>
    </row>
    <row r="3" customFormat="false" ht="15" hidden="false" customHeight="false" outlineLevel="0" collapsed="false">
      <c r="A3" s="10" t="n">
        <v>2022</v>
      </c>
      <c r="B3" s="17" t="s">
        <v>21</v>
      </c>
      <c r="C3" s="11" t="n">
        <v>5852</v>
      </c>
      <c r="D3" s="31" t="n">
        <v>756.37</v>
      </c>
      <c r="E3" s="32" t="n">
        <v>3629802.84</v>
      </c>
      <c r="F3" s="13" t="n">
        <v>1.0348</v>
      </c>
      <c r="G3" s="13" t="n">
        <v>0.8195</v>
      </c>
      <c r="H3" s="33" t="n">
        <v>13.67</v>
      </c>
      <c r="I3" s="33" t="n">
        <v>6.51</v>
      </c>
    </row>
    <row r="4" customFormat="false" ht="15" hidden="false" customHeight="false" outlineLevel="0" collapsed="false">
      <c r="A4" s="5" t="n">
        <v>2022</v>
      </c>
      <c r="B4" s="15" t="s">
        <v>22</v>
      </c>
      <c r="C4" s="6" t="n">
        <v>11062</v>
      </c>
      <c r="D4" s="28" t="n">
        <v>1156.22</v>
      </c>
      <c r="E4" s="29" t="n">
        <v>10232318.25</v>
      </c>
      <c r="F4" s="8" t="n">
        <v>0.98</v>
      </c>
      <c r="G4" s="8" t="n">
        <v>0.7328</v>
      </c>
      <c r="H4" s="30" t="n">
        <v>18.36</v>
      </c>
      <c r="I4" s="30" t="n">
        <v>9.44</v>
      </c>
    </row>
    <row r="5" customFormat="false" ht="15" hidden="false" customHeight="false" outlineLevel="0" collapsed="false">
      <c r="A5" s="10" t="n">
        <v>2022</v>
      </c>
      <c r="B5" s="17" t="s">
        <v>23</v>
      </c>
      <c r="C5" s="11" t="n">
        <v>3489</v>
      </c>
      <c r="D5" s="31" t="n">
        <v>1106.88</v>
      </c>
      <c r="E5" s="32" t="n">
        <v>3090702.74</v>
      </c>
      <c r="F5" s="13" t="n">
        <v>0.97</v>
      </c>
      <c r="G5" s="13" t="n">
        <v>0.7278</v>
      </c>
      <c r="H5" s="33" t="n">
        <v>25.16</v>
      </c>
      <c r="I5" s="33" t="n">
        <v>10.26</v>
      </c>
    </row>
    <row r="6" customFormat="false" ht="15" hidden="false" customHeight="false" outlineLevel="0" collapsed="false">
      <c r="A6" s="5" t="n">
        <v>2022</v>
      </c>
      <c r="B6" s="15" t="s">
        <v>24</v>
      </c>
      <c r="C6" s="6" t="n">
        <v>406</v>
      </c>
      <c r="D6" s="28" t="n">
        <v>1119.9</v>
      </c>
      <c r="E6" s="29" t="n">
        <v>364649.73</v>
      </c>
      <c r="F6" s="8" t="n">
        <v>0.96</v>
      </c>
      <c r="G6" s="8" t="n">
        <v>0.738</v>
      </c>
      <c r="H6" s="30" t="n">
        <v>21.67</v>
      </c>
      <c r="I6" s="30" t="n">
        <v>9.11</v>
      </c>
    </row>
    <row r="7" customFormat="false" ht="15" hidden="false" customHeight="false" outlineLevel="0" collapsed="false">
      <c r="A7" s="10" t="n">
        <v>2022</v>
      </c>
      <c r="B7" s="17" t="s">
        <v>25</v>
      </c>
      <c r="C7" s="11" t="n">
        <v>6513</v>
      </c>
      <c r="D7" s="31" t="n">
        <v>1018.4</v>
      </c>
      <c r="E7" s="32" t="n">
        <v>5324705.12</v>
      </c>
      <c r="F7" s="13" t="n">
        <v>0.93</v>
      </c>
      <c r="G7" s="13" t="n">
        <v>0.5726</v>
      </c>
      <c r="H7" s="33" t="n">
        <v>19.79</v>
      </c>
      <c r="I7" s="33" t="n">
        <v>9.06</v>
      </c>
    </row>
    <row r="8" customFormat="false" ht="15" hidden="false" customHeight="false" outlineLevel="0" collapsed="false">
      <c r="A8" s="5" t="n">
        <v>2022</v>
      </c>
      <c r="B8" s="15" t="s">
        <v>26</v>
      </c>
      <c r="C8" s="6" t="n">
        <v>647</v>
      </c>
      <c r="D8" s="28" t="n">
        <v>839.55</v>
      </c>
      <c r="E8" s="29" t="n">
        <v>444001.21</v>
      </c>
      <c r="F8" s="8" t="n">
        <v>1.0079</v>
      </c>
      <c r="G8" s="8" t="n">
        <v>0.7838</v>
      </c>
      <c r="H8" s="30" t="n">
        <v>21.29</v>
      </c>
      <c r="I8" s="30" t="n">
        <v>8.17</v>
      </c>
    </row>
    <row r="9" customFormat="false" ht="15" hidden="false" customHeight="false" outlineLevel="0" collapsed="false">
      <c r="A9" s="10" t="n">
        <v>2022</v>
      </c>
      <c r="B9" s="17" t="s">
        <v>27</v>
      </c>
      <c r="C9" s="11" t="n">
        <v>465</v>
      </c>
      <c r="D9" s="31" t="n">
        <v>843.33</v>
      </c>
      <c r="E9" s="32" t="n">
        <v>320143.94</v>
      </c>
      <c r="F9" s="13" t="n">
        <v>1.0268</v>
      </c>
      <c r="G9" s="13" t="n">
        <v>0.7567</v>
      </c>
      <c r="H9" s="33" t="n">
        <v>21.29</v>
      </c>
      <c r="I9" s="33" t="n">
        <v>6.96</v>
      </c>
    </row>
    <row r="10" customFormat="false" ht="15" hidden="false" customHeight="false" outlineLevel="0" collapsed="false">
      <c r="A10" s="5" t="n">
        <v>2022</v>
      </c>
      <c r="B10" s="15" t="s">
        <v>28</v>
      </c>
      <c r="C10" s="6" t="n">
        <v>343687</v>
      </c>
      <c r="D10" s="28" t="n">
        <v>863.44</v>
      </c>
      <c r="E10" s="29" t="n">
        <v>242273855.8</v>
      </c>
      <c r="F10" s="8" t="n">
        <v>1.0239</v>
      </c>
      <c r="G10" s="8" t="n">
        <v>0.7812</v>
      </c>
      <c r="H10" s="30" t="n">
        <v>16.2</v>
      </c>
      <c r="I10" s="30" t="n">
        <v>7.5</v>
      </c>
    </row>
    <row r="11" customFormat="false" ht="15" hidden="false" customHeight="false" outlineLevel="0" collapsed="false">
      <c r="A11" s="10" t="n">
        <v>2022</v>
      </c>
      <c r="B11" s="17" t="s">
        <v>29</v>
      </c>
      <c r="C11" s="11" t="n">
        <v>6152</v>
      </c>
      <c r="D11" s="31" t="n">
        <v>754.42</v>
      </c>
      <c r="E11" s="32" t="n">
        <v>3808730.44</v>
      </c>
      <c r="F11" s="13" t="n">
        <v>1.0523</v>
      </c>
      <c r="G11" s="13" t="n">
        <v>0.781</v>
      </c>
      <c r="H11" s="33" t="n">
        <v>13</v>
      </c>
      <c r="I11" s="33" t="n">
        <v>6.89</v>
      </c>
    </row>
    <row r="12" customFormat="false" ht="15" hidden="false" customHeight="false" outlineLevel="0" collapsed="false">
      <c r="A12" s="5" t="n">
        <v>2023</v>
      </c>
      <c r="B12" s="15" t="s">
        <v>20</v>
      </c>
      <c r="C12" s="6" t="n">
        <v>438800</v>
      </c>
      <c r="D12" s="28" t="n">
        <v>918.96</v>
      </c>
      <c r="E12" s="29" t="n">
        <v>330283227.08</v>
      </c>
      <c r="F12" s="8" t="n">
        <v>1.0521</v>
      </c>
      <c r="G12" s="8" t="n">
        <v>0.7231</v>
      </c>
      <c r="H12" s="30" t="n">
        <v>10.02</v>
      </c>
      <c r="I12" s="30" t="n">
        <v>8.37</v>
      </c>
    </row>
    <row r="13" customFormat="false" ht="15" hidden="false" customHeight="false" outlineLevel="0" collapsed="false">
      <c r="A13" s="10" t="n">
        <v>2023</v>
      </c>
      <c r="B13" s="17" t="s">
        <v>21</v>
      </c>
      <c r="C13" s="11" t="n">
        <v>5095</v>
      </c>
      <c r="D13" s="31" t="n">
        <v>820.29</v>
      </c>
      <c r="E13" s="32" t="n">
        <v>3433842.81</v>
      </c>
      <c r="F13" s="13" t="n">
        <v>1.0737</v>
      </c>
      <c r="G13" s="13" t="n">
        <v>0.7052</v>
      </c>
      <c r="H13" s="33" t="n">
        <v>18.09</v>
      </c>
      <c r="I13" s="33" t="n">
        <v>7.16</v>
      </c>
    </row>
    <row r="14" customFormat="false" ht="15" hidden="false" customHeight="false" outlineLevel="0" collapsed="false">
      <c r="A14" s="5" t="n">
        <v>2023</v>
      </c>
      <c r="B14" s="15" t="s">
        <v>22</v>
      </c>
      <c r="C14" s="6" t="n">
        <v>465</v>
      </c>
      <c r="D14" s="28" t="n">
        <v>861.94</v>
      </c>
      <c r="E14" s="29" t="n">
        <v>330006.17</v>
      </c>
      <c r="F14" s="8" t="n">
        <v>1.0851</v>
      </c>
      <c r="G14" s="8" t="n">
        <v>0.7165</v>
      </c>
      <c r="H14" s="30" t="n">
        <v>9.03</v>
      </c>
      <c r="I14" s="30" t="n">
        <v>6.67</v>
      </c>
    </row>
    <row r="15" customFormat="false" ht="15" hidden="false" customHeight="false" outlineLevel="0" collapsed="false">
      <c r="A15" s="10" t="n">
        <v>2023</v>
      </c>
      <c r="B15" s="17" t="s">
        <v>23</v>
      </c>
      <c r="C15" s="11" t="n">
        <v>887</v>
      </c>
      <c r="D15" s="31" t="n">
        <v>814.92</v>
      </c>
      <c r="E15" s="32" t="n">
        <v>595618.94</v>
      </c>
      <c r="F15" s="13" t="n">
        <v>1.0782</v>
      </c>
      <c r="G15" s="13" t="n">
        <v>0.7046</v>
      </c>
      <c r="H15" s="33" t="n">
        <v>10.48</v>
      </c>
      <c r="I15" s="33" t="n">
        <v>8.12</v>
      </c>
    </row>
    <row r="16" customFormat="false" ht="15" hidden="false" customHeight="false" outlineLevel="0" collapsed="false">
      <c r="A16" s="5" t="n">
        <v>2023</v>
      </c>
      <c r="B16" s="15" t="s">
        <v>24</v>
      </c>
      <c r="C16" s="6" t="n">
        <v>520</v>
      </c>
      <c r="D16" s="28" t="n">
        <v>855.12</v>
      </c>
      <c r="E16" s="29" t="n">
        <v>355201</v>
      </c>
      <c r="F16" s="8" t="n">
        <v>1.0612</v>
      </c>
      <c r="G16" s="8" t="n">
        <v>0.718</v>
      </c>
      <c r="H16" s="30" t="n">
        <v>11</v>
      </c>
      <c r="I16" s="30" t="n">
        <v>7.2</v>
      </c>
    </row>
    <row r="17" customFormat="false" ht="15" hidden="false" customHeight="false" outlineLevel="0" collapsed="false">
      <c r="A17" s="10" t="n">
        <v>2023</v>
      </c>
      <c r="B17" s="17" t="s">
        <v>25</v>
      </c>
      <c r="C17" s="11" t="n">
        <v>640</v>
      </c>
      <c r="D17" s="31" t="n">
        <v>836.22</v>
      </c>
      <c r="E17" s="32" t="n">
        <v>428810</v>
      </c>
      <c r="F17" s="13" t="n">
        <v>1.0495</v>
      </c>
      <c r="G17" s="13" t="n">
        <v>0.725</v>
      </c>
      <c r="H17" s="33" t="n">
        <v>12.4</v>
      </c>
      <c r="I17" s="33" t="n">
        <v>7.85</v>
      </c>
    </row>
    <row r="18" customFormat="false" ht="15" hidden="false" customHeight="false" outlineLevel="0" collapsed="false">
      <c r="A18" s="5" t="n">
        <v>2023</v>
      </c>
      <c r="B18" s="15" t="s">
        <v>26</v>
      </c>
      <c r="C18" s="6" t="n">
        <v>371</v>
      </c>
      <c r="D18" s="28" t="n">
        <v>772.98</v>
      </c>
      <c r="E18" s="29" t="n">
        <v>235937.02</v>
      </c>
      <c r="F18" s="8" t="n">
        <v>1.0751</v>
      </c>
      <c r="G18" s="8" t="n">
        <v>0.7857</v>
      </c>
      <c r="H18" s="30" t="n">
        <v>2.45</v>
      </c>
      <c r="I18" s="30" t="n">
        <v>6.81</v>
      </c>
    </row>
    <row r="19" customFormat="false" ht="15" hidden="false" customHeight="false" outlineLevel="0" collapsed="false">
      <c r="A19" s="10" t="n">
        <v>2023</v>
      </c>
      <c r="B19" s="17" t="s">
        <v>27</v>
      </c>
      <c r="C19" s="11" t="n">
        <v>754</v>
      </c>
      <c r="D19" s="31" t="n">
        <v>784.29</v>
      </c>
      <c r="E19" s="32" t="n">
        <v>486715.31</v>
      </c>
      <c r="F19" s="13" t="n">
        <v>1.066</v>
      </c>
      <c r="G19" s="13" t="n">
        <v>0.8199</v>
      </c>
      <c r="H19" s="33" t="n">
        <v>2.52</v>
      </c>
      <c r="I19" s="33" t="n">
        <v>7.16</v>
      </c>
    </row>
    <row r="20" customFormat="false" ht="15" hidden="false" customHeight="false" outlineLevel="0" collapsed="false">
      <c r="A20" s="5" t="n">
        <v>2023</v>
      </c>
      <c r="B20" s="15" t="s">
        <v>28</v>
      </c>
      <c r="C20" s="6" t="n">
        <v>463025</v>
      </c>
      <c r="D20" s="28" t="n">
        <v>970.37</v>
      </c>
      <c r="E20" s="29" t="n">
        <v>369244285.71</v>
      </c>
      <c r="F20" s="8" t="n">
        <v>1.039</v>
      </c>
      <c r="G20" s="8" t="n">
        <v>0.698</v>
      </c>
      <c r="H20" s="30" t="n">
        <v>5.77</v>
      </c>
      <c r="I20" s="30" t="n">
        <v>8.13</v>
      </c>
    </row>
    <row r="21" customFormat="false" ht="15" hidden="false" customHeight="false" outlineLevel="0" collapsed="false">
      <c r="A21" s="10" t="n">
        <v>2023</v>
      </c>
      <c r="B21" s="17" t="s">
        <v>29</v>
      </c>
      <c r="C21" s="11" t="n">
        <v>6988</v>
      </c>
      <c r="D21" s="31" t="n">
        <v>798.15</v>
      </c>
      <c r="E21" s="32" t="n">
        <v>4467208.9</v>
      </c>
      <c r="F21" s="13" t="n">
        <v>1.0623</v>
      </c>
      <c r="G21" s="13" t="n">
        <v>0.7155</v>
      </c>
      <c r="H21" s="33" t="n">
        <v>4.6</v>
      </c>
      <c r="I21" s="33" t="n">
        <v>7.3</v>
      </c>
    </row>
    <row r="22" customFormat="false" ht="15" hidden="false" customHeight="false" outlineLevel="0" collapsed="false">
      <c r="A22" s="5" t="n">
        <v>2024</v>
      </c>
      <c r="B22" s="15" t="s">
        <v>20</v>
      </c>
      <c r="C22" s="6" t="n">
        <v>471250</v>
      </c>
      <c r="D22" s="28" t="n">
        <v>964.2</v>
      </c>
      <c r="E22" s="29" t="n">
        <v>372618500</v>
      </c>
      <c r="F22" s="8" t="n">
        <v>1.0705</v>
      </c>
      <c r="G22" s="8" t="n">
        <v>0.692</v>
      </c>
      <c r="H22" s="30" t="n">
        <v>14.8</v>
      </c>
      <c r="I22" s="30" t="n">
        <v>8.45</v>
      </c>
    </row>
    <row r="23" customFormat="false" ht="15" hidden="false" customHeight="false" outlineLevel="0" collapsed="false">
      <c r="A23" s="10" t="n">
        <v>2024</v>
      </c>
      <c r="B23" s="17" t="s">
        <v>21</v>
      </c>
      <c r="C23" s="11" t="n">
        <v>5238</v>
      </c>
      <c r="D23" s="31" t="n">
        <v>845.3</v>
      </c>
      <c r="E23" s="32" t="n">
        <v>3624880</v>
      </c>
      <c r="F23" s="13" t="n">
        <v>1.082</v>
      </c>
      <c r="G23" s="13" t="n">
        <v>0.6985</v>
      </c>
      <c r="H23" s="33" t="n">
        <v>16.55</v>
      </c>
      <c r="I23" s="33" t="n">
        <v>7.4</v>
      </c>
    </row>
    <row r="24" customFormat="false" ht="15" hidden="false" customHeight="false" outlineLevel="0" collapsed="false">
      <c r="A24" s="5" t="n">
        <v>2024</v>
      </c>
      <c r="B24" s="15" t="s">
        <v>22</v>
      </c>
      <c r="C24" s="6" t="n">
        <v>1045</v>
      </c>
      <c r="D24" s="28" t="n">
        <v>880.15</v>
      </c>
      <c r="E24" s="29" t="n">
        <v>769290</v>
      </c>
      <c r="F24" s="8" t="n">
        <v>1.0733</v>
      </c>
      <c r="G24" s="8" t="n">
        <v>0.7052</v>
      </c>
      <c r="H24" s="30" t="n">
        <v>16.08</v>
      </c>
      <c r="I24" s="30" t="n">
        <v>6.51</v>
      </c>
    </row>
    <row r="25" customFormat="false" ht="15" hidden="false" customHeight="false" outlineLevel="0" collapsed="false">
      <c r="A25" s="10" t="n">
        <v>2024</v>
      </c>
      <c r="B25" s="17" t="s">
        <v>23</v>
      </c>
      <c r="C25" s="11" t="n">
        <v>968</v>
      </c>
      <c r="D25" s="31" t="n">
        <v>870.4</v>
      </c>
      <c r="E25" s="32" t="n">
        <v>701250</v>
      </c>
      <c r="F25" s="13" t="n">
        <v>1.0654</v>
      </c>
      <c r="G25" s="13" t="n">
        <v>0.7088</v>
      </c>
      <c r="H25" s="33" t="n">
        <v>17.12</v>
      </c>
      <c r="I25" s="33" t="n">
        <v>6.9</v>
      </c>
    </row>
    <row r="26" customFormat="false" ht="15" hidden="false" customHeight="false" outlineLevel="0" collapsed="false">
      <c r="A26" s="5" t="n">
        <v>2024</v>
      </c>
      <c r="B26" s="15" t="s">
        <v>24</v>
      </c>
      <c r="C26" s="6" t="n">
        <v>720</v>
      </c>
      <c r="D26" s="28" t="n">
        <v>860.1</v>
      </c>
      <c r="E26" s="29" t="n">
        <v>515780</v>
      </c>
      <c r="F26" s="8" t="n">
        <v>1.058</v>
      </c>
      <c r="G26" s="8" t="n">
        <v>0.712</v>
      </c>
      <c r="H26" s="30" t="n">
        <v>17.85</v>
      </c>
      <c r="I26" s="30" t="n">
        <v>7.25</v>
      </c>
    </row>
    <row r="27" customFormat="false" ht="15" hidden="false" customHeight="false" outlineLevel="0" collapsed="false">
      <c r="A27" s="10" t="n">
        <v>2024</v>
      </c>
      <c r="B27" s="17" t="s">
        <v>25</v>
      </c>
      <c r="C27" s="11" t="n">
        <v>858</v>
      </c>
      <c r="D27" s="31" t="n">
        <v>848.8</v>
      </c>
      <c r="E27" s="32" t="n">
        <v>604550</v>
      </c>
      <c r="F27" s="13" t="n">
        <v>1.048</v>
      </c>
      <c r="G27" s="13" t="n">
        <v>0.718</v>
      </c>
      <c r="H27" s="33" t="n">
        <v>18.4</v>
      </c>
      <c r="I27" s="33" t="n">
        <v>7.6</v>
      </c>
    </row>
    <row r="28" customFormat="false" ht="15" hidden="false" customHeight="false" outlineLevel="0" collapsed="false">
      <c r="A28" s="5" t="n">
        <v>2024</v>
      </c>
      <c r="B28" s="15" t="s">
        <v>26</v>
      </c>
      <c r="C28" s="6" t="n">
        <v>420</v>
      </c>
      <c r="D28" s="28" t="n">
        <v>790.15</v>
      </c>
      <c r="E28" s="29" t="n">
        <v>267420</v>
      </c>
      <c r="F28" s="8" t="n">
        <v>1.081</v>
      </c>
      <c r="G28" s="8" t="n">
        <v>0.773</v>
      </c>
      <c r="H28" s="30" t="n">
        <v>11.8</v>
      </c>
      <c r="I28" s="30" t="n">
        <v>7.5</v>
      </c>
    </row>
    <row r="29" customFormat="false" ht="15" hidden="false" customHeight="false" outlineLevel="0" collapsed="false">
      <c r="A29" s="10" t="n">
        <v>2024</v>
      </c>
      <c r="B29" s="17" t="s">
        <v>27</v>
      </c>
      <c r="C29" s="11" t="n">
        <v>810</v>
      </c>
      <c r="D29" s="31" t="n">
        <v>802.3</v>
      </c>
      <c r="E29" s="32" t="n">
        <v>523880</v>
      </c>
      <c r="F29" s="13" t="n">
        <v>1.0725</v>
      </c>
      <c r="G29" s="13" t="n">
        <v>0.801</v>
      </c>
      <c r="H29" s="33" t="n">
        <v>12.3</v>
      </c>
      <c r="I29" s="33" t="n">
        <v>7.95</v>
      </c>
    </row>
    <row r="30" customFormat="false" ht="15" hidden="false" customHeight="false" outlineLevel="0" collapsed="false">
      <c r="A30" s="5" t="n">
        <v>2024</v>
      </c>
      <c r="B30" s="15" t="s">
        <v>28</v>
      </c>
      <c r="C30" s="6" t="n">
        <v>498320</v>
      </c>
      <c r="D30" s="28" t="n">
        <v>1005.7</v>
      </c>
      <c r="E30" s="29" t="n">
        <v>416891250</v>
      </c>
      <c r="F30" s="8" t="n">
        <v>1.0465</v>
      </c>
      <c r="G30" s="8" t="n">
        <v>0.688</v>
      </c>
      <c r="H30" s="30" t="n">
        <v>13.9</v>
      </c>
      <c r="I30" s="30" t="n">
        <v>8.55</v>
      </c>
    </row>
    <row r="31" customFormat="false" ht="15" hidden="false" customHeight="false" outlineLevel="0" collapsed="false">
      <c r="A31" s="10" t="n">
        <v>2024</v>
      </c>
      <c r="B31" s="17" t="s">
        <v>29</v>
      </c>
      <c r="C31" s="11" t="n">
        <v>7420</v>
      </c>
      <c r="D31" s="31" t="n">
        <v>820.55</v>
      </c>
      <c r="E31" s="32" t="n">
        <v>4891800</v>
      </c>
      <c r="F31" s="13" t="n">
        <v>1.068</v>
      </c>
      <c r="G31" s="13" t="n">
        <v>0.708</v>
      </c>
      <c r="H31" s="33" t="n">
        <v>13.2</v>
      </c>
      <c r="I31" s="33" t="n">
        <v>7.6</v>
      </c>
    </row>
    <row r="32" customFormat="false" ht="15" hidden="false" customHeight="false" outlineLevel="0" collapsed="false">
      <c r="A32" s="5" t="n">
        <v>2025</v>
      </c>
      <c r="B32" s="15" t="s">
        <v>20</v>
      </c>
      <c r="C32" s="6" t="n">
        <v>503800</v>
      </c>
      <c r="D32" s="28" t="n">
        <v>1015.8</v>
      </c>
      <c r="E32" s="29" t="n">
        <v>425282500</v>
      </c>
      <c r="F32" s="8" t="n">
        <v>1.0895</v>
      </c>
      <c r="G32" s="8" t="n">
        <v>0.671</v>
      </c>
      <c r="H32" s="30" t="n">
        <v>15.2</v>
      </c>
      <c r="I32" s="30" t="n">
        <v>8.9</v>
      </c>
    </row>
    <row r="33" customFormat="false" ht="15" hidden="false" customHeight="false" outlineLevel="0" collapsed="false">
      <c r="A33" s="10" t="n">
        <v>2025</v>
      </c>
      <c r="B33" s="17" t="s">
        <v>21</v>
      </c>
      <c r="C33" s="11" t="n">
        <v>5485</v>
      </c>
      <c r="D33" s="31" t="n">
        <v>870.95</v>
      </c>
      <c r="E33" s="32" t="n">
        <v>3928050</v>
      </c>
      <c r="F33" s="13" t="n">
        <v>1.0985</v>
      </c>
      <c r="G33" s="13" t="n">
        <v>0.6785</v>
      </c>
      <c r="H33" s="33" t="n">
        <v>17.25</v>
      </c>
      <c r="I33" s="33" t="n">
        <v>7.85</v>
      </c>
    </row>
    <row r="34" customFormat="false" ht="15" hidden="false" customHeight="false" outlineLevel="0" collapsed="false">
      <c r="A34" s="5" t="n">
        <v>2025</v>
      </c>
      <c r="B34" s="15" t="s">
        <v>22</v>
      </c>
      <c r="C34" s="6" t="n">
        <v>1180</v>
      </c>
      <c r="D34" s="28" t="n">
        <v>905.2</v>
      </c>
      <c r="E34" s="29" t="n">
        <v>893520</v>
      </c>
      <c r="F34" s="8" t="n">
        <v>1.0912</v>
      </c>
      <c r="G34" s="8" t="n">
        <v>0.6825</v>
      </c>
      <c r="H34" s="30" t="n">
        <v>16.8</v>
      </c>
      <c r="I34" s="30" t="n">
        <v>7.2</v>
      </c>
    </row>
    <row r="35" customFormat="false" ht="15" hidden="false" customHeight="false" outlineLevel="0" collapsed="false">
      <c r="A35" s="10" t="n">
        <v>2025</v>
      </c>
      <c r="B35" s="17" t="s">
        <v>23</v>
      </c>
      <c r="C35" s="11" t="n">
        <v>1050</v>
      </c>
      <c r="D35" s="31" t="n">
        <v>892.4</v>
      </c>
      <c r="E35" s="32" t="n">
        <v>781800</v>
      </c>
      <c r="F35" s="13" t="n">
        <v>1.0825</v>
      </c>
      <c r="G35" s="13" t="n">
        <v>0.686</v>
      </c>
      <c r="H35" s="33" t="n">
        <v>17.8</v>
      </c>
      <c r="I35" s="33" t="n">
        <v>7.55</v>
      </c>
    </row>
    <row r="36" customFormat="false" ht="15" hidden="false" customHeight="false" outlineLevel="0" collapsed="false">
      <c r="A36" s="5" t="n">
        <v>2025</v>
      </c>
      <c r="B36" s="15" t="s">
        <v>24</v>
      </c>
      <c r="C36" s="6" t="n">
        <v>815</v>
      </c>
      <c r="D36" s="28" t="n">
        <v>879.25</v>
      </c>
      <c r="E36" s="29" t="n">
        <v>597450</v>
      </c>
      <c r="F36" s="8" t="n">
        <v>1.0745</v>
      </c>
      <c r="G36" s="8" t="n">
        <v>0.6895</v>
      </c>
      <c r="H36" s="30" t="n">
        <v>18.5</v>
      </c>
      <c r="I36" s="30" t="n">
        <v>7.85</v>
      </c>
    </row>
    <row r="37" customFormat="false" ht="15" hidden="false" customHeight="false" outlineLevel="0" collapsed="false">
      <c r="A37" s="10" t="n">
        <v>2025</v>
      </c>
      <c r="B37" s="17" t="s">
        <v>25</v>
      </c>
      <c r="C37" s="11" t="n">
        <v>930</v>
      </c>
      <c r="D37" s="31" t="n">
        <v>865.1</v>
      </c>
      <c r="E37" s="32" t="n">
        <v>667890</v>
      </c>
      <c r="F37" s="13" t="n">
        <v>1.064</v>
      </c>
      <c r="G37" s="13" t="n">
        <v>0.692</v>
      </c>
      <c r="H37" s="33" t="n">
        <v>19.1</v>
      </c>
      <c r="I37" s="33" t="n">
        <v>8.1</v>
      </c>
    </row>
    <row r="38" customFormat="false" ht="15" hidden="false" customHeight="false" outlineLevel="0" collapsed="false">
      <c r="A38" s="5" t="n">
        <v>2025</v>
      </c>
      <c r="B38" s="15" t="s">
        <v>26</v>
      </c>
      <c r="C38" s="6" t="n">
        <v>480</v>
      </c>
      <c r="D38" s="28" t="n">
        <v>810.2</v>
      </c>
      <c r="E38" s="29" t="n">
        <v>312780</v>
      </c>
      <c r="F38" s="8" t="n">
        <v>1.098</v>
      </c>
      <c r="G38" s="8" t="n">
        <v>0.758</v>
      </c>
      <c r="H38" s="30" t="n">
        <v>12.4</v>
      </c>
      <c r="I38" s="30" t="n">
        <v>8.05</v>
      </c>
    </row>
    <row r="39" customFormat="false" ht="15" hidden="false" customHeight="false" outlineLevel="0" collapsed="false">
      <c r="A39" s="10" t="n">
        <v>2025</v>
      </c>
      <c r="B39" s="17" t="s">
        <v>27</v>
      </c>
      <c r="C39" s="11" t="n">
        <v>890</v>
      </c>
      <c r="D39" s="31" t="n">
        <v>825.45</v>
      </c>
      <c r="E39" s="32" t="n">
        <v>588060</v>
      </c>
      <c r="F39" s="13" t="n">
        <v>1.0895</v>
      </c>
      <c r="G39" s="13" t="n">
        <v>0.7855</v>
      </c>
      <c r="H39" s="33" t="n">
        <v>12.85</v>
      </c>
      <c r="I39" s="33" t="n">
        <v>8.45</v>
      </c>
    </row>
    <row r="40" customFormat="false" ht="15" hidden="false" customHeight="false" outlineLevel="0" collapsed="false">
      <c r="A40" s="5" t="n">
        <v>2025</v>
      </c>
      <c r="B40" s="15" t="s">
        <v>28</v>
      </c>
      <c r="C40" s="6" t="n">
        <v>532100</v>
      </c>
      <c r="D40" s="28" t="n">
        <v>1060.2</v>
      </c>
      <c r="E40" s="29" t="n">
        <v>465830000</v>
      </c>
      <c r="F40" s="8" t="n">
        <v>1.062</v>
      </c>
      <c r="G40" s="8" t="n">
        <v>0.664</v>
      </c>
      <c r="H40" s="30" t="n">
        <v>14.55</v>
      </c>
      <c r="I40" s="30" t="n">
        <v>8.95</v>
      </c>
    </row>
    <row r="41" customFormat="false" ht="15" hidden="false" customHeight="false" outlineLevel="0" collapsed="false">
      <c r="A41" s="10" t="n">
        <v>2025</v>
      </c>
      <c r="B41" s="17" t="s">
        <v>29</v>
      </c>
      <c r="C41" s="11" t="n">
        <v>7895</v>
      </c>
      <c r="D41" s="31" t="n">
        <v>845.8</v>
      </c>
      <c r="E41" s="32" t="n">
        <v>5338920</v>
      </c>
      <c r="F41" s="13" t="n">
        <v>1.085</v>
      </c>
      <c r="G41" s="13" t="n">
        <v>0.685</v>
      </c>
      <c r="H41" s="33" t="n">
        <v>13.85</v>
      </c>
      <c r="I41" s="33" t="n">
        <v>7.95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6" min="5" style="0" width="11"/>
    <col collapsed="false" customWidth="true" hidden="false" outlineLevel="0" max="7" min="7" style="0" width="15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8"/>
  </cols>
  <sheetData>
    <row r="1" customFormat="false" ht="36" hidden="false" customHeight="true" outlineLevel="0" collapsed="false">
      <c r="A1" s="27" t="s">
        <v>47</v>
      </c>
      <c r="B1" s="27" t="s">
        <v>56</v>
      </c>
      <c r="C1" s="27" t="s">
        <v>49</v>
      </c>
      <c r="D1" s="27" t="s">
        <v>51</v>
      </c>
      <c r="E1" s="27" t="s">
        <v>52</v>
      </c>
      <c r="F1" s="27" t="s">
        <v>53</v>
      </c>
      <c r="G1" s="27" t="s">
        <v>57</v>
      </c>
      <c r="H1" s="27" t="s">
        <v>58</v>
      </c>
      <c r="I1" s="27" t="s">
        <v>59</v>
      </c>
      <c r="J1" s="27" t="s">
        <v>60</v>
      </c>
      <c r="K1" s="27" t="s">
        <v>55</v>
      </c>
    </row>
    <row r="2" customFormat="false" ht="15" hidden="false" customHeight="false" outlineLevel="0" collapsed="false">
      <c r="A2" s="5" t="n">
        <v>2022</v>
      </c>
      <c r="B2" s="24" t="n">
        <v>-0.02</v>
      </c>
      <c r="C2" s="6" t="n">
        <v>1158</v>
      </c>
      <c r="D2" s="29" t="n">
        <v>711310.94</v>
      </c>
      <c r="E2" s="8" t="n">
        <v>1.0151</v>
      </c>
      <c r="F2" s="8" t="n">
        <v>0.8302</v>
      </c>
      <c r="G2" s="6" t="n">
        <v>63</v>
      </c>
      <c r="H2" s="6" t="n">
        <v>146</v>
      </c>
      <c r="I2" s="6" t="n">
        <v>209</v>
      </c>
      <c r="J2" s="30" t="n">
        <v>18.05</v>
      </c>
      <c r="K2" s="30" t="n">
        <v>5.44</v>
      </c>
    </row>
    <row r="3" customFormat="false" ht="15" hidden="false" customHeight="false" outlineLevel="0" collapsed="false">
      <c r="A3" s="10" t="n">
        <v>2022</v>
      </c>
      <c r="B3" s="25" t="n">
        <v>-0.01</v>
      </c>
      <c r="C3" s="11" t="n">
        <v>1145</v>
      </c>
      <c r="D3" s="32" t="n">
        <v>689554.7</v>
      </c>
      <c r="E3" s="13" t="n">
        <v>1.0247</v>
      </c>
      <c r="F3" s="13" t="n">
        <v>0.8179</v>
      </c>
      <c r="G3" s="11" t="n">
        <v>71</v>
      </c>
      <c r="H3" s="11" t="n">
        <v>160</v>
      </c>
      <c r="I3" s="11" t="n">
        <v>231</v>
      </c>
      <c r="J3" s="33" t="n">
        <v>20.17</v>
      </c>
      <c r="K3" s="33" t="n">
        <v>6.2</v>
      </c>
    </row>
    <row r="4" customFormat="false" ht="15" hidden="false" customHeight="false" outlineLevel="0" collapsed="false">
      <c r="A4" s="5" t="n">
        <v>2022</v>
      </c>
      <c r="B4" s="24" t="n">
        <v>0</v>
      </c>
      <c r="C4" s="6" t="n">
        <v>1164</v>
      </c>
      <c r="D4" s="29" t="n">
        <v>725753.17</v>
      </c>
      <c r="E4" s="8" t="n">
        <v>1.0348</v>
      </c>
      <c r="F4" s="8" t="n">
        <v>0.8261</v>
      </c>
      <c r="G4" s="6" t="n">
        <v>73</v>
      </c>
      <c r="H4" s="6" t="n">
        <v>173</v>
      </c>
      <c r="I4" s="6" t="n">
        <v>246</v>
      </c>
      <c r="J4" s="30" t="n">
        <v>21.13</v>
      </c>
      <c r="K4" s="30" t="n">
        <v>6.27</v>
      </c>
    </row>
    <row r="5" customFormat="false" ht="15" hidden="false" customHeight="false" outlineLevel="0" collapsed="false">
      <c r="A5" s="10" t="n">
        <v>2022</v>
      </c>
      <c r="B5" s="25" t="n">
        <v>0.01</v>
      </c>
      <c r="C5" s="11" t="n">
        <v>1183</v>
      </c>
      <c r="D5" s="32" t="n">
        <v>743643.87</v>
      </c>
      <c r="E5" s="13" t="n">
        <v>1.0441</v>
      </c>
      <c r="F5" s="13" t="n">
        <v>0.8121</v>
      </c>
      <c r="G5" s="11" t="n">
        <v>85</v>
      </c>
      <c r="H5" s="11" t="n">
        <v>145</v>
      </c>
      <c r="I5" s="11" t="n">
        <v>230</v>
      </c>
      <c r="J5" s="33" t="n">
        <v>19.44</v>
      </c>
      <c r="K5" s="33" t="n">
        <v>7.19</v>
      </c>
    </row>
    <row r="6" customFormat="false" ht="15" hidden="false" customHeight="false" outlineLevel="0" collapsed="false">
      <c r="A6" s="5" t="n">
        <v>2022</v>
      </c>
      <c r="B6" s="24" t="n">
        <v>0.02</v>
      </c>
      <c r="C6" s="6" t="n">
        <v>1202</v>
      </c>
      <c r="D6" s="29" t="n">
        <v>759540.16</v>
      </c>
      <c r="E6" s="8" t="n">
        <v>1.0541</v>
      </c>
      <c r="F6" s="8" t="n">
        <v>0.8104</v>
      </c>
      <c r="G6" s="6" t="n">
        <v>89</v>
      </c>
      <c r="H6" s="6" t="n">
        <v>176</v>
      </c>
      <c r="I6" s="6" t="n">
        <v>265</v>
      </c>
      <c r="J6" s="30" t="n">
        <v>22.05</v>
      </c>
      <c r="K6" s="30" t="n">
        <v>7.4</v>
      </c>
    </row>
    <row r="7" customFormat="false" ht="15" hidden="false" customHeight="false" outlineLevel="0" collapsed="false">
      <c r="A7" s="10" t="n">
        <v>2023</v>
      </c>
      <c r="B7" s="25" t="n">
        <v>-0.02</v>
      </c>
      <c r="C7" s="11" t="n">
        <v>1232</v>
      </c>
      <c r="D7" s="32" t="n">
        <v>752901.16</v>
      </c>
      <c r="E7" s="13" t="n">
        <v>1.0332</v>
      </c>
      <c r="F7" s="13" t="n">
        <v>0.7859</v>
      </c>
      <c r="G7" s="11" t="n">
        <v>82</v>
      </c>
      <c r="H7" s="11" t="n">
        <v>35</v>
      </c>
      <c r="I7" s="11" t="n">
        <v>117</v>
      </c>
      <c r="J7" s="33" t="n">
        <v>9.5</v>
      </c>
      <c r="K7" s="33" t="n">
        <v>6.66</v>
      </c>
    </row>
    <row r="8" customFormat="false" ht="15" hidden="false" customHeight="false" outlineLevel="0" collapsed="false">
      <c r="A8" s="5" t="n">
        <v>2023</v>
      </c>
      <c r="B8" s="24" t="n">
        <v>-0.01</v>
      </c>
      <c r="C8" s="6" t="n">
        <v>1229</v>
      </c>
      <c r="D8" s="29" t="n">
        <v>750670.04</v>
      </c>
      <c r="E8" s="8" t="n">
        <v>1.0439</v>
      </c>
      <c r="F8" s="8" t="n">
        <v>0.7855</v>
      </c>
      <c r="G8" s="6" t="n">
        <v>87</v>
      </c>
      <c r="H8" s="6" t="n">
        <v>34</v>
      </c>
      <c r="I8" s="6" t="n">
        <v>121</v>
      </c>
      <c r="J8" s="30" t="n">
        <v>9.85</v>
      </c>
      <c r="K8" s="30" t="n">
        <v>7.08</v>
      </c>
    </row>
    <row r="9" customFormat="false" ht="15" hidden="false" customHeight="false" outlineLevel="0" collapsed="false">
      <c r="A9" s="10" t="n">
        <v>2023</v>
      </c>
      <c r="B9" s="25" t="n">
        <v>0</v>
      </c>
      <c r="C9" s="11" t="n">
        <v>1254</v>
      </c>
      <c r="D9" s="32" t="n">
        <v>766789.35</v>
      </c>
      <c r="E9" s="13" t="n">
        <v>1.0529</v>
      </c>
      <c r="F9" s="13" t="n">
        <v>0.7837</v>
      </c>
      <c r="G9" s="11" t="n">
        <v>98</v>
      </c>
      <c r="H9" s="11" t="n">
        <v>37</v>
      </c>
      <c r="I9" s="11" t="n">
        <v>135</v>
      </c>
      <c r="J9" s="33" t="n">
        <v>10.77</v>
      </c>
      <c r="K9" s="33" t="n">
        <v>7.81</v>
      </c>
    </row>
    <row r="10" customFormat="false" ht="15" hidden="false" customHeight="false" outlineLevel="0" collapsed="false">
      <c r="A10" s="5" t="n">
        <v>2023</v>
      </c>
      <c r="B10" s="24" t="n">
        <v>0.01</v>
      </c>
      <c r="C10" s="6" t="n">
        <v>1224</v>
      </c>
      <c r="D10" s="29" t="n">
        <v>762878.78</v>
      </c>
      <c r="E10" s="8" t="n">
        <v>1.0612</v>
      </c>
      <c r="F10" s="8" t="n">
        <v>0.7761</v>
      </c>
      <c r="G10" s="6" t="n">
        <v>75</v>
      </c>
      <c r="H10" s="6" t="n">
        <v>17</v>
      </c>
      <c r="I10" s="6" t="n">
        <v>92</v>
      </c>
      <c r="J10" s="30" t="n">
        <v>7.52</v>
      </c>
      <c r="K10" s="30" t="n">
        <v>6.13</v>
      </c>
    </row>
    <row r="11" customFormat="false" ht="15" hidden="false" customHeight="false" outlineLevel="0" collapsed="false">
      <c r="A11" s="10" t="n">
        <v>2023</v>
      </c>
      <c r="B11" s="25" t="n">
        <v>0.02</v>
      </c>
      <c r="C11" s="11" t="n">
        <v>1213</v>
      </c>
      <c r="D11" s="32" t="n">
        <v>775491.11</v>
      </c>
      <c r="E11" s="13" t="n">
        <v>1.0705</v>
      </c>
      <c r="F11" s="13" t="n">
        <v>0.7752</v>
      </c>
      <c r="G11" s="11" t="n">
        <v>82</v>
      </c>
      <c r="H11" s="11" t="n">
        <v>28</v>
      </c>
      <c r="I11" s="11" t="n">
        <v>110</v>
      </c>
      <c r="J11" s="33" t="n">
        <v>9.07</v>
      </c>
      <c r="K11" s="33" t="n">
        <v>6.76</v>
      </c>
    </row>
    <row r="12" customFormat="false" ht="15" hidden="false" customHeight="false" outlineLevel="0" collapsed="false">
      <c r="A12" s="5" t="n">
        <v>2024</v>
      </c>
      <c r="B12" s="24" t="n">
        <v>-0.02</v>
      </c>
      <c r="C12" s="6" t="n">
        <v>958</v>
      </c>
      <c r="D12" s="29" t="n">
        <v>641495.13</v>
      </c>
      <c r="E12" s="8" t="n">
        <v>1.0541</v>
      </c>
      <c r="F12" s="8" t="n">
        <v>0.711</v>
      </c>
      <c r="G12" s="6" t="n">
        <v>77</v>
      </c>
      <c r="H12" s="6" t="n">
        <v>95</v>
      </c>
      <c r="I12" s="6" t="n">
        <v>172</v>
      </c>
      <c r="J12" s="30" t="n">
        <v>17.95</v>
      </c>
      <c r="K12" s="30" t="n">
        <v>8.04</v>
      </c>
    </row>
    <row r="13" customFormat="false" ht="15" hidden="false" customHeight="false" outlineLevel="0" collapsed="false">
      <c r="A13" s="10" t="n">
        <v>2024</v>
      </c>
      <c r="B13" s="25" t="n">
        <v>-0.01</v>
      </c>
      <c r="C13" s="11" t="n">
        <v>1028</v>
      </c>
      <c r="D13" s="32" t="n">
        <v>678667.36</v>
      </c>
      <c r="E13" s="13" t="n">
        <v>1.0635</v>
      </c>
      <c r="F13" s="13" t="n">
        <v>0.7089</v>
      </c>
      <c r="G13" s="11" t="n">
        <v>65</v>
      </c>
      <c r="H13" s="11" t="n">
        <v>90</v>
      </c>
      <c r="I13" s="11" t="n">
        <v>155</v>
      </c>
      <c r="J13" s="33" t="n">
        <v>15.08</v>
      </c>
      <c r="K13" s="33" t="n">
        <v>6.32</v>
      </c>
    </row>
    <row r="14" customFormat="false" ht="15" hidden="false" customHeight="false" outlineLevel="0" collapsed="false">
      <c r="A14" s="5" t="n">
        <v>2024</v>
      </c>
      <c r="B14" s="24" t="n">
        <v>0</v>
      </c>
      <c r="C14" s="6" t="n">
        <v>1045</v>
      </c>
      <c r="D14" s="29" t="n">
        <v>703196.34</v>
      </c>
      <c r="E14" s="8" t="n">
        <v>1.0733</v>
      </c>
      <c r="F14" s="8" t="n">
        <v>0.7052</v>
      </c>
      <c r="G14" s="6" t="n">
        <v>68</v>
      </c>
      <c r="H14" s="6" t="n">
        <v>100</v>
      </c>
      <c r="I14" s="6" t="n">
        <v>168</v>
      </c>
      <c r="J14" s="30" t="n">
        <v>16.08</v>
      </c>
      <c r="K14" s="30" t="n">
        <v>6.51</v>
      </c>
    </row>
    <row r="15" customFormat="false" ht="15" hidden="false" customHeight="false" outlineLevel="0" collapsed="false">
      <c r="A15" s="10" t="n">
        <v>2024</v>
      </c>
      <c r="B15" s="25" t="n">
        <v>0.01</v>
      </c>
      <c r="C15" s="11" t="n">
        <v>986</v>
      </c>
      <c r="D15" s="32" t="n">
        <v>665600.99</v>
      </c>
      <c r="E15" s="13" t="n">
        <v>1.0832</v>
      </c>
      <c r="F15" s="13" t="n">
        <v>0.7007</v>
      </c>
      <c r="G15" s="11" t="n">
        <v>68</v>
      </c>
      <c r="H15" s="11" t="n">
        <v>85</v>
      </c>
      <c r="I15" s="11" t="n">
        <v>153</v>
      </c>
      <c r="J15" s="33" t="n">
        <v>15.52</v>
      </c>
      <c r="K15" s="33" t="n">
        <v>6.9</v>
      </c>
    </row>
    <row r="16" customFormat="false" ht="15" hidden="false" customHeight="false" outlineLevel="0" collapsed="false">
      <c r="A16" s="5" t="n">
        <v>2024</v>
      </c>
      <c r="B16" s="24" t="n">
        <v>0.02</v>
      </c>
      <c r="C16" s="6" t="n">
        <v>1078</v>
      </c>
      <c r="D16" s="29" t="n">
        <v>744882.99</v>
      </c>
      <c r="E16" s="8" t="n">
        <v>1.0925</v>
      </c>
      <c r="F16" s="8" t="n">
        <v>0.7006</v>
      </c>
      <c r="G16" s="6" t="n">
        <v>87</v>
      </c>
      <c r="H16" s="6" t="n">
        <v>100</v>
      </c>
      <c r="I16" s="6" t="n">
        <v>187</v>
      </c>
      <c r="J16" s="30" t="n">
        <v>17.35</v>
      </c>
      <c r="K16" s="30" t="n">
        <v>8.07</v>
      </c>
    </row>
    <row r="17" customFormat="false" ht="15" hidden="false" customHeight="false" outlineLevel="0" collapsed="false">
      <c r="A17" s="10" t="n">
        <v>2025</v>
      </c>
      <c r="B17" s="25" t="n">
        <v>-0.02</v>
      </c>
      <c r="C17" s="11" t="n">
        <v>4304</v>
      </c>
      <c r="D17" s="32" t="n">
        <v>3201885.84</v>
      </c>
      <c r="E17" s="13" t="n">
        <v>1.0498</v>
      </c>
      <c r="F17" s="13" t="n">
        <v>0.6604</v>
      </c>
      <c r="G17" s="11" t="n">
        <v>323</v>
      </c>
      <c r="H17" s="11" t="n">
        <v>184</v>
      </c>
      <c r="I17" s="11" t="n">
        <v>507</v>
      </c>
      <c r="J17" s="33" t="n">
        <v>11.78</v>
      </c>
      <c r="K17" s="33" t="n">
        <v>7.5</v>
      </c>
    </row>
    <row r="18" customFormat="false" ht="15" hidden="false" customHeight="false" outlineLevel="0" collapsed="false">
      <c r="A18" s="5" t="n">
        <v>2025</v>
      </c>
      <c r="B18" s="24" t="n">
        <v>-0.01</v>
      </c>
      <c r="C18" s="6" t="n">
        <v>4373</v>
      </c>
      <c r="D18" s="29" t="n">
        <v>3298961.56</v>
      </c>
      <c r="E18" s="8" t="n">
        <v>1.0595</v>
      </c>
      <c r="F18" s="8" t="n">
        <v>0.6516</v>
      </c>
      <c r="G18" s="6" t="n">
        <v>328</v>
      </c>
      <c r="H18" s="6" t="n">
        <v>201</v>
      </c>
      <c r="I18" s="6" t="n">
        <v>529</v>
      </c>
      <c r="J18" s="30" t="n">
        <v>12.1</v>
      </c>
      <c r="K18" s="30" t="n">
        <v>7.5</v>
      </c>
    </row>
    <row r="19" customFormat="false" ht="15" hidden="false" customHeight="false" outlineLevel="0" collapsed="false">
      <c r="A19" s="10" t="n">
        <v>2025</v>
      </c>
      <c r="B19" s="25" t="n">
        <v>0</v>
      </c>
      <c r="C19" s="11" t="n">
        <v>4322</v>
      </c>
      <c r="D19" s="32" t="n">
        <v>3308101.99</v>
      </c>
      <c r="E19" s="13" t="n">
        <v>1.0695</v>
      </c>
      <c r="F19" s="13" t="n">
        <v>0.6534</v>
      </c>
      <c r="G19" s="11" t="n">
        <v>356</v>
      </c>
      <c r="H19" s="11" t="n">
        <v>230</v>
      </c>
      <c r="I19" s="11" t="n">
        <v>586</v>
      </c>
      <c r="J19" s="33" t="n">
        <v>13.56</v>
      </c>
      <c r="K19" s="33" t="n">
        <v>8.24</v>
      </c>
    </row>
    <row r="20" customFormat="false" ht="15" hidden="false" customHeight="false" outlineLevel="0" collapsed="false">
      <c r="A20" s="5" t="n">
        <v>2025</v>
      </c>
      <c r="B20" s="24" t="n">
        <v>0.01</v>
      </c>
      <c r="C20" s="6" t="n">
        <v>4382</v>
      </c>
      <c r="D20" s="29" t="n">
        <v>3391536.26</v>
      </c>
      <c r="E20" s="8" t="n">
        <v>1.0798</v>
      </c>
      <c r="F20" s="8" t="n">
        <v>0.6553</v>
      </c>
      <c r="G20" s="6" t="n">
        <v>386</v>
      </c>
      <c r="H20" s="6" t="n">
        <v>184</v>
      </c>
      <c r="I20" s="6" t="n">
        <v>570</v>
      </c>
      <c r="J20" s="30" t="n">
        <v>13.01</v>
      </c>
      <c r="K20" s="30" t="n">
        <v>8.81</v>
      </c>
    </row>
    <row r="21" customFormat="false" ht="15" hidden="false" customHeight="false" outlineLevel="0" collapsed="false">
      <c r="A21" s="10" t="n">
        <v>2025</v>
      </c>
      <c r="B21" s="25" t="n">
        <v>0.02</v>
      </c>
      <c r="C21" s="11" t="n">
        <v>4450</v>
      </c>
      <c r="D21" s="32" t="n">
        <v>3480120</v>
      </c>
      <c r="E21" s="13" t="n">
        <v>1.0895</v>
      </c>
      <c r="F21" s="13" t="n">
        <v>0.654</v>
      </c>
      <c r="G21" s="11" t="n">
        <v>395</v>
      </c>
      <c r="H21" s="11" t="n">
        <v>210</v>
      </c>
      <c r="I21" s="11" t="n">
        <v>605</v>
      </c>
      <c r="J21" s="33" t="n">
        <v>13.6</v>
      </c>
      <c r="K21" s="33" t="n">
        <v>8.88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13"/>
    <col collapsed="false" customWidth="true" hidden="false" outlineLevel="0" max="7" min="7" style="0" width="15"/>
  </cols>
  <sheetData>
    <row r="1" customFormat="false" ht="30" hidden="false" customHeight="true" outlineLevel="0" collapsed="false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62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4" t="s">
        <v>63</v>
      </c>
    </row>
    <row r="5" customFormat="false" ht="23.85" hidden="false" customHeight="false" outlineLevel="0" collapsed="false">
      <c r="A5" s="4" t="s">
        <v>3</v>
      </c>
      <c r="B5" s="4" t="s">
        <v>4</v>
      </c>
      <c r="C5" s="4" t="s">
        <v>64</v>
      </c>
      <c r="D5" s="4" t="s">
        <v>65</v>
      </c>
      <c r="E5" s="4" t="s">
        <v>66</v>
      </c>
    </row>
    <row r="6" customFormat="false" ht="15" hidden="false" customHeight="false" outlineLevel="0" collapsed="false">
      <c r="A6" s="5" t="n">
        <v>2022</v>
      </c>
      <c r="B6" s="6" t="n">
        <f aca="false">Synthèse_Population!B6</f>
        <v>695672</v>
      </c>
      <c r="C6" s="35" t="n">
        <f aca="false">Synthèse_Population!C6/1000000</f>
        <v>479.69937148</v>
      </c>
      <c r="D6" s="16" t="n">
        <f aca="false">Synthèse_Population!F6</f>
        <v>0.787935193884474</v>
      </c>
      <c r="E6" s="9" t="n">
        <f aca="false">Synthèse_Population!I6</f>
        <v>23.7438542732782</v>
      </c>
    </row>
    <row r="7" customFormat="false" ht="15" hidden="false" customHeight="false" outlineLevel="0" collapsed="false">
      <c r="A7" s="10" t="n">
        <v>2023</v>
      </c>
      <c r="B7" s="11" t="n">
        <f aca="false">Synthèse_Population!B7</f>
        <v>917545</v>
      </c>
      <c r="C7" s="36" t="n">
        <f aca="false">Synthèse_Population!C7/1000000</f>
        <v>709.86085294</v>
      </c>
      <c r="D7" s="18" t="n">
        <f aca="false">Synthèse_Population!F7</f>
        <v>0.710358456533467</v>
      </c>
      <c r="E7" s="14" t="n">
        <f aca="false">Synthèse_Population!I7</f>
        <v>16.1020356821736</v>
      </c>
    </row>
    <row r="8" customFormat="false" ht="15" hidden="false" customHeight="false" outlineLevel="0" collapsed="false">
      <c r="A8" s="5" t="n">
        <v>2024</v>
      </c>
      <c r="B8" s="6" t="n">
        <f aca="false">Synthèse_Population!B8</f>
        <v>987049</v>
      </c>
      <c r="C8" s="35" t="n">
        <f aca="false">Synthèse_Population!C8/1000000</f>
        <v>801.4086</v>
      </c>
      <c r="D8" s="16" t="n">
        <f aca="false">Synthèse_Population!F8</f>
        <v>0.690326892991128</v>
      </c>
      <c r="E8" s="9" t="n">
        <f aca="false">Synthèse_Population!I8</f>
        <v>22.8310641214367</v>
      </c>
    </row>
    <row r="9" customFormat="false" ht="15" hidden="false" customHeight="false" outlineLevel="0" collapsed="false">
      <c r="A9" s="10" t="n">
        <v>2025</v>
      </c>
      <c r="B9" s="11" t="n">
        <f aca="false">Synthèse_Population!B9</f>
        <v>1054625</v>
      </c>
      <c r="C9" s="36" t="n">
        <f aca="false">Synthèse_Population!C9/1000000</f>
        <v>904.22097</v>
      </c>
      <c r="D9" s="18" t="n">
        <f aca="false">Synthèse_Population!F9</f>
        <v>0.667808875192604</v>
      </c>
      <c r="E9" s="14" t="n">
        <f aca="false">Synthèse_Population!I9</f>
        <v>23.7868401090435</v>
      </c>
    </row>
    <row r="12" customFormat="false" ht="15" hidden="false" customHeight="false" outlineLevel="0" collapsed="false">
      <c r="A12" s="34" t="s">
        <v>67</v>
      </c>
    </row>
    <row r="13" customFormat="false" ht="15" hidden="false" customHeight="false" outlineLevel="0" collapsed="false">
      <c r="A13" s="4" t="s">
        <v>3</v>
      </c>
      <c r="B13" s="37" t="n">
        <v>-0.02</v>
      </c>
      <c r="C13" s="37" t="n">
        <v>-0.01</v>
      </c>
      <c r="D13" s="37" t="n">
        <v>0</v>
      </c>
      <c r="E13" s="37" t="n">
        <v>0.01</v>
      </c>
      <c r="F13" s="37" t="n">
        <v>0.02</v>
      </c>
    </row>
    <row r="14" customFormat="false" ht="15" hidden="false" customHeight="false" outlineLevel="0" collapsed="false">
      <c r="A14" s="5" t="n">
        <v>2022</v>
      </c>
      <c r="B14" s="8" t="n">
        <f aca="false">IFERROR(SUMIFS(Base_Majoration!$E$2:$E$21,Base_Majoration!$A$2:$A$21,$A14,Base_Majoration!$B$2:$B$21,B$13),"")</f>
        <v>1.0151</v>
      </c>
      <c r="C14" s="8" t="n">
        <f aca="false">IFERROR(SUMIFS(Base_Majoration!$E$2:$E$21,Base_Majoration!$A$2:$A$21,$A14,Base_Majoration!$B$2:$B$21,B$13),"")</f>
        <v>1.0151</v>
      </c>
      <c r="D14" s="8" t="n">
        <f aca="false">IFERROR(SUMIFS(Base_Majoration!$E$2:$E$21,Base_Majoration!$A$2:$A$21,$A14,Base_Majoration!$B$2:$B$21,B$13),"")</f>
        <v>1.0151</v>
      </c>
      <c r="E14" s="8" t="n">
        <f aca="false">IFERROR(SUMIFS(Base_Majoration!$E$2:$E$21,Base_Majoration!$A$2:$A$21,$A14,Base_Majoration!$B$2:$B$21,B$13),"")</f>
        <v>1.0151</v>
      </c>
      <c r="F14" s="8" t="n">
        <f aca="false">IFERROR(SUMIFS(Base_Majoration!$E$2:$E$21,Base_Majoration!$A$2:$A$21,$A14,Base_Majoration!$B$2:$B$21,B$13),"")</f>
        <v>1.0151</v>
      </c>
    </row>
    <row r="15" customFormat="false" ht="15" hidden="false" customHeight="false" outlineLevel="0" collapsed="false">
      <c r="A15" s="10" t="n">
        <v>2023</v>
      </c>
      <c r="B15" s="13" t="n">
        <f aca="false">IFERROR(SUMIFS(Base_Majoration!$E$2:$E$21,Base_Majoration!$A$2:$A$21,$A15,Base_Majoration!$B$2:$B$21,B$13),"")</f>
        <v>1.0332</v>
      </c>
      <c r="C15" s="13" t="n">
        <f aca="false">IFERROR(SUMIFS(Base_Majoration!$E$2:$E$21,Base_Majoration!$A$2:$A$21,$A15,Base_Majoration!$B$2:$B$21,B$13),"")</f>
        <v>1.0332</v>
      </c>
      <c r="D15" s="13" t="n">
        <f aca="false">IFERROR(SUMIFS(Base_Majoration!$E$2:$E$21,Base_Majoration!$A$2:$A$21,$A15,Base_Majoration!$B$2:$B$21,B$13),"")</f>
        <v>1.0332</v>
      </c>
      <c r="E15" s="13" t="n">
        <f aca="false">IFERROR(SUMIFS(Base_Majoration!$E$2:$E$21,Base_Majoration!$A$2:$A$21,$A15,Base_Majoration!$B$2:$B$21,B$13),"")</f>
        <v>1.0332</v>
      </c>
      <c r="F15" s="13" t="n">
        <f aca="false">IFERROR(SUMIFS(Base_Majoration!$E$2:$E$21,Base_Majoration!$A$2:$A$21,$A15,Base_Majoration!$B$2:$B$21,B$13),"")</f>
        <v>1.0332</v>
      </c>
    </row>
    <row r="16" customFormat="false" ht="15" hidden="false" customHeight="false" outlineLevel="0" collapsed="false">
      <c r="A16" s="5" t="n">
        <v>2024</v>
      </c>
      <c r="B16" s="8" t="n">
        <f aca="false">IFERROR(SUMIFS(Base_Majoration!$E$2:$E$21,Base_Majoration!$A$2:$A$21,$A16,Base_Majoration!$B$2:$B$21,B$13),"")</f>
        <v>1.0541</v>
      </c>
      <c r="C16" s="8" t="n">
        <f aca="false">IFERROR(SUMIFS(Base_Majoration!$E$2:$E$21,Base_Majoration!$A$2:$A$21,$A16,Base_Majoration!$B$2:$B$21,B$13),"")</f>
        <v>1.0541</v>
      </c>
      <c r="D16" s="8" t="n">
        <f aca="false">IFERROR(SUMIFS(Base_Majoration!$E$2:$E$21,Base_Majoration!$A$2:$A$21,$A16,Base_Majoration!$B$2:$B$21,B$13),"")</f>
        <v>1.0541</v>
      </c>
      <c r="E16" s="8" t="n">
        <f aca="false">IFERROR(SUMIFS(Base_Majoration!$E$2:$E$21,Base_Majoration!$A$2:$A$21,$A16,Base_Majoration!$B$2:$B$21,B$13),"")</f>
        <v>1.0541</v>
      </c>
      <c r="F16" s="8" t="n">
        <f aca="false">IFERROR(SUMIFS(Base_Majoration!$E$2:$E$21,Base_Majoration!$A$2:$A$21,$A16,Base_Majoration!$B$2:$B$21,B$13),"")</f>
        <v>1.0541</v>
      </c>
    </row>
    <row r="17" customFormat="false" ht="15" hidden="false" customHeight="false" outlineLevel="0" collapsed="false">
      <c r="A17" s="10" t="n">
        <v>2025</v>
      </c>
      <c r="B17" s="13" t="n">
        <f aca="false">IFERROR(SUMIFS(Base_Majoration!$E$2:$E$21,Base_Majoration!$A$2:$A$21,$A17,Base_Majoration!$B$2:$B$21,B$13),"")</f>
        <v>1.0498</v>
      </c>
      <c r="C17" s="13" t="n">
        <f aca="false">IFERROR(SUMIFS(Base_Majoration!$E$2:$E$21,Base_Majoration!$A$2:$A$21,$A17,Base_Majoration!$B$2:$B$21,B$13),"")</f>
        <v>1.0498</v>
      </c>
      <c r="D17" s="13" t="n">
        <f aca="false">IFERROR(SUMIFS(Base_Majoration!$E$2:$E$21,Base_Majoration!$A$2:$A$21,$A17,Base_Majoration!$B$2:$B$21,B$13),"")</f>
        <v>1.0498</v>
      </c>
      <c r="E17" s="13" t="n">
        <f aca="false">IFERROR(SUMIFS(Base_Majoration!$E$2:$E$21,Base_Majoration!$A$2:$A$21,$A17,Base_Majoration!$B$2:$B$21,B$13),"")</f>
        <v>1.0498</v>
      </c>
      <c r="F17" s="13" t="n">
        <f aca="false">IFERROR(SUMIFS(Base_Majoration!$E$2:$E$21,Base_Majoration!$A$2:$A$21,$A17,Base_Majoration!$B$2:$B$21,B$13),"")</f>
        <v>1.0498</v>
      </c>
    </row>
    <row r="38" customFormat="false" ht="15" hidden="false" customHeight="false" outlineLevel="0" collapsed="false">
      <c r="A38" s="34" t="s">
        <v>68</v>
      </c>
    </row>
    <row r="39" customFormat="false" ht="15" hidden="false" customHeight="false" outlineLevel="0" collapsed="false">
      <c r="A39" s="4" t="s">
        <v>3</v>
      </c>
      <c r="B39" s="37" t="n">
        <v>-0.02</v>
      </c>
      <c r="C39" s="37" t="n">
        <v>-0.01</v>
      </c>
      <c r="D39" s="37" t="n">
        <v>0</v>
      </c>
      <c r="E39" s="37" t="n">
        <v>0.01</v>
      </c>
      <c r="F39" s="37" t="n">
        <v>0.02</v>
      </c>
    </row>
    <row r="40" customFormat="false" ht="15" hidden="false" customHeight="false" outlineLevel="0" collapsed="false">
      <c r="A40" s="5" t="n">
        <v>2022</v>
      </c>
      <c r="B40" s="9" t="n">
        <f aca="false">IFERROR(SUMIFS(Base_Majoration!$J$2:$J$21,Base_Majoration!$A$2:$A$21,$A40,Base_Majoration!$B$2:$B$21,B$39),"")</f>
        <v>18.05</v>
      </c>
      <c r="C40" s="9" t="n">
        <f aca="false">IFERROR(SUMIFS(Base_Majoration!$J$2:$J$21,Base_Majoration!$A$2:$A$21,$A40,Base_Majoration!$B$2:$B$21,B$39),"")</f>
        <v>18.05</v>
      </c>
      <c r="D40" s="9" t="n">
        <f aca="false">IFERROR(SUMIFS(Base_Majoration!$J$2:$J$21,Base_Majoration!$A$2:$A$21,$A40,Base_Majoration!$B$2:$B$21,B$39),"")</f>
        <v>18.05</v>
      </c>
      <c r="E40" s="9" t="n">
        <f aca="false">IFERROR(SUMIFS(Base_Majoration!$J$2:$J$21,Base_Majoration!$A$2:$A$21,$A40,Base_Majoration!$B$2:$B$21,B$39),"")</f>
        <v>18.05</v>
      </c>
      <c r="F40" s="9" t="n">
        <f aca="false">IFERROR(SUMIFS(Base_Majoration!$J$2:$J$21,Base_Majoration!$A$2:$A$21,$A40,Base_Majoration!$B$2:$B$21,B$39),"")</f>
        <v>18.05</v>
      </c>
    </row>
    <row r="41" customFormat="false" ht="15" hidden="false" customHeight="false" outlineLevel="0" collapsed="false">
      <c r="A41" s="10" t="n">
        <v>2023</v>
      </c>
      <c r="B41" s="14" t="n">
        <f aca="false">IFERROR(SUMIFS(Base_Majoration!$J$2:$J$21,Base_Majoration!$A$2:$A$21,$A41,Base_Majoration!$B$2:$B$21,B$39),"")</f>
        <v>9.5</v>
      </c>
      <c r="C41" s="14" t="n">
        <f aca="false">IFERROR(SUMIFS(Base_Majoration!$J$2:$J$21,Base_Majoration!$A$2:$A$21,$A41,Base_Majoration!$B$2:$B$21,B$39),"")</f>
        <v>9.5</v>
      </c>
      <c r="D41" s="14" t="n">
        <f aca="false">IFERROR(SUMIFS(Base_Majoration!$J$2:$J$21,Base_Majoration!$A$2:$A$21,$A41,Base_Majoration!$B$2:$B$21,B$39),"")</f>
        <v>9.5</v>
      </c>
      <c r="E41" s="14" t="n">
        <f aca="false">IFERROR(SUMIFS(Base_Majoration!$J$2:$J$21,Base_Majoration!$A$2:$A$21,$A41,Base_Majoration!$B$2:$B$21,B$39),"")</f>
        <v>9.5</v>
      </c>
      <c r="F41" s="14" t="n">
        <f aca="false">IFERROR(SUMIFS(Base_Majoration!$J$2:$J$21,Base_Majoration!$A$2:$A$21,$A41,Base_Majoration!$B$2:$B$21,B$39),"")</f>
        <v>9.5</v>
      </c>
    </row>
    <row r="42" customFormat="false" ht="15" hidden="false" customHeight="false" outlineLevel="0" collapsed="false">
      <c r="A42" s="5" t="n">
        <v>2024</v>
      </c>
      <c r="B42" s="9" t="n">
        <f aca="false">IFERROR(SUMIFS(Base_Majoration!$J$2:$J$21,Base_Majoration!$A$2:$A$21,$A42,Base_Majoration!$B$2:$B$21,B$39),"")</f>
        <v>17.95</v>
      </c>
      <c r="C42" s="9" t="n">
        <f aca="false">IFERROR(SUMIFS(Base_Majoration!$J$2:$J$21,Base_Majoration!$A$2:$A$21,$A42,Base_Majoration!$B$2:$B$21,B$39),"")</f>
        <v>17.95</v>
      </c>
      <c r="D42" s="9" t="n">
        <f aca="false">IFERROR(SUMIFS(Base_Majoration!$J$2:$J$21,Base_Majoration!$A$2:$A$21,$A42,Base_Majoration!$B$2:$B$21,B$39),"")</f>
        <v>17.95</v>
      </c>
      <c r="E42" s="9" t="n">
        <f aca="false">IFERROR(SUMIFS(Base_Majoration!$J$2:$J$21,Base_Majoration!$A$2:$A$21,$A42,Base_Majoration!$B$2:$B$21,B$39),"")</f>
        <v>17.95</v>
      </c>
      <c r="F42" s="9" t="n">
        <f aca="false">IFERROR(SUMIFS(Base_Majoration!$J$2:$J$21,Base_Majoration!$A$2:$A$21,$A42,Base_Majoration!$B$2:$B$21,B$39),"")</f>
        <v>17.95</v>
      </c>
    </row>
    <row r="43" customFormat="false" ht="15" hidden="false" customHeight="false" outlineLevel="0" collapsed="false">
      <c r="A43" s="10" t="n">
        <v>2025</v>
      </c>
      <c r="B43" s="14" t="n">
        <f aca="false">IFERROR(SUMIFS(Base_Majoration!$J$2:$J$21,Base_Majoration!$A$2:$A$21,$A43,Base_Majoration!$B$2:$B$21,B$39),"")</f>
        <v>11.78</v>
      </c>
      <c r="C43" s="14" t="n">
        <f aca="false">IFERROR(SUMIFS(Base_Majoration!$J$2:$J$21,Base_Majoration!$A$2:$A$21,$A43,Base_Majoration!$B$2:$B$21,B$39),"")</f>
        <v>11.78</v>
      </c>
      <c r="D43" s="14" t="n">
        <f aca="false">IFERROR(SUMIFS(Base_Majoration!$J$2:$J$21,Base_Majoration!$A$2:$A$21,$A43,Base_Majoration!$B$2:$B$21,B$39),"")</f>
        <v>11.78</v>
      </c>
      <c r="E43" s="14" t="n">
        <f aca="false">IFERROR(SUMIFS(Base_Majoration!$J$2:$J$21,Base_Majoration!$A$2:$A$21,$A43,Base_Majoration!$B$2:$B$21,B$39),"")</f>
        <v>11.78</v>
      </c>
      <c r="F43" s="14" t="n">
        <f aca="false">IFERROR(SUMIFS(Base_Majoration!$J$2:$J$21,Base_Majoration!$A$2:$A$21,$A43,Base_Majoration!$B$2:$B$21,B$39),"")</f>
        <v>11.78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2026-04-17T06:12:47Z</dcterms:created>
  <dc:creator>openpyxl</dc:creator>
  <dc:description/>
  <dc:language>en-US</dc:language>
  <cp:lastModifiedBy/>
  <dcterms:modified xsi:type="dcterms:W3CDTF">2026-04-17T06:12:53Z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