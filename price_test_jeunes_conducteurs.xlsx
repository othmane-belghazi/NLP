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Données" sheetId="2" state="visible" r:id="rId4"/>
    <sheet name="Graphiqu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<sst xmlns="http://schemas.openxmlformats.org/spreadsheetml/2006/main" count="86" uniqueCount="36">
  <si>
    <t xml:space="preserve">PRICE TEST — JEUNES CONDUCTEURS</t>
  </si>
  <si>
    <t xml:space="preserve">Synthèse 2022-2025 · Analyse par modalité de test tarifaire</t>
  </si>
  <si>
    <t xml:space="preserve">Exposition totale</t>
  </si>
  <si>
    <t xml:space="preserve">Ressource HT totale</t>
  </si>
  <si>
    <t xml:space="preserve">Prime TTC moyenne</t>
  </si>
  <si>
    <t xml:space="preserve">ELR moyen pondéré</t>
  </si>
  <si>
    <t xml:space="preserve">1 · Répartition par modalité (cumul 2022-2025)</t>
  </si>
  <si>
    <t xml:space="preserve">Modalité</t>
  </si>
  <si>
    <t xml:space="preserve">Exposition</t>
  </si>
  <si>
    <t xml:space="preserve">% Exposition</t>
  </si>
  <si>
    <t xml:space="preserve">Ressource HT</t>
  </si>
  <si>
    <t xml:space="preserve">% Ressource HT</t>
  </si>
  <si>
    <t xml:space="preserve">Prime TTC moy.</t>
  </si>
  <si>
    <t xml:space="preserve">Témoin</t>
  </si>
  <si>
    <t xml:space="preserve">Test -5%</t>
  </si>
  <si>
    <t xml:space="preserve">Test +5%</t>
  </si>
  <si>
    <t xml:space="preserve">Test +10%</t>
  </si>
  <si>
    <t xml:space="preserve">Test +15%</t>
  </si>
  <si>
    <t xml:space="preserve">TOTAL</t>
  </si>
  <si>
    <t xml:space="preserve">2 · Résiliation &amp; Majoration moyenne par modalité (pondéré exposition)</t>
  </si>
  <si>
    <t xml:space="preserve">Majoration moy.</t>
  </si>
  <si>
    <t xml:space="preserve">Taux résil. fenêtre</t>
  </si>
  <si>
    <t xml:space="preserve">Taux résil. hors fenêtre</t>
  </si>
  <si>
    <t xml:space="preserve">Taux résil. total</t>
  </si>
  <si>
    <t xml:space="preserve">Coeff. tarifaire</t>
  </si>
  <si>
    <t xml:space="preserve">3 · Évolution annuelle (tous tests confondus)</t>
  </si>
  <si>
    <t xml:space="preserve">Année</t>
  </si>
  <si>
    <t xml:space="preserve">ELR moyen</t>
  </si>
  <si>
    <t xml:space="preserve">Population price test</t>
  </si>
  <si>
    <t xml:space="preserve">Majoration moyenne</t>
  </si>
  <si>
    <t xml:space="preserve">Taux résiliation fenêtre renouvellement</t>
  </si>
  <si>
    <t xml:space="preserve">Taux résiliation hors fenêtre</t>
  </si>
  <si>
    <t xml:space="preserve">Coefficient tarifaire moyen</t>
  </si>
  <si>
    <t xml:space="preserve">VISUELS — PRICE TEST JEUNES CONDUCTEURS</t>
  </si>
  <si>
    <t xml:space="preserve">Résil. fenêtre</t>
  </si>
  <si>
    <t xml:space="preserve">Résil. hors fenêtre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</si>
</sst>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&quot; €&quot;"/>
    <numFmt numFmtId="167" formatCode="0.0%"/>
    <numFmt numFmtId="168" formatCode="0.000"/>
    <numFmt numFmtId="169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E2761"/>
      <name val="Calibri"/>
      <family val="0"/>
      <charset val="1"/>
    </font>
    <font>
      <i val="true"/>
      <sz val="11"/>
      <color rgb="FF6B7280"/>
      <name val="Calibri"/>
      <family val="0"/>
      <charset val="1"/>
    </font>
    <font>
      <b val="true"/>
      <sz val="10"/>
      <color rgb="FF6B7280"/>
      <name val="Calibri"/>
      <family val="0"/>
      <charset val="1"/>
    </font>
    <font>
      <b val="true"/>
      <sz val="22"/>
      <color rgb="FF1E2761"/>
      <name val="Calibri"/>
      <family val="0"/>
      <charset val="1"/>
    </font>
    <font>
      <b val="true"/>
      <sz val="13"/>
      <color rgb="FF1E276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1E276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28090"/>
        <bgColor rgb="FF008080"/>
      </patternFill>
    </fill>
    <fill>
      <patternFill patternType="solid">
        <fgColor rgb="FFE8EEF4"/>
        <bgColor rgb="FFF9F9F9"/>
      </patternFill>
    </fill>
    <fill>
      <patternFill patternType="solid">
        <fgColor rgb="FF1E2761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D9D9D9"/>
      <rgbColor rgb="FF878787"/>
      <rgbColor rgb="FF9999FF"/>
      <rgbColor rgb="FFAB4744"/>
      <rgbColor rgb="FFF9F9F9"/>
      <rgbColor rgb="FFE8EEF4"/>
      <rgbColor rgb="FF660066"/>
      <rgbColor rgb="FFD09493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B7280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Exposition par modalité (cumul 2022-2025)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Graphiques!B3</c:f>
              <c:strCache>
                <c:ptCount val="1"/>
                <c:pt idx="0">
                  <c:v>Exposition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Graphiques!$A$4:$A$8</c:f>
              <c:strCache>
                <c:ptCount val="5"/>
                <c:pt idx="0">
                  <c:v>Témoin</c:v>
                </c:pt>
                <c:pt idx="1">
                  <c:v>Test -5%</c:v>
                </c:pt>
                <c:pt idx="2">
                  <c:v>Test +5%</c:v>
                </c:pt>
                <c:pt idx="3">
                  <c:v>Test +10%</c:v>
                </c:pt>
                <c:pt idx="4">
                  <c:v>Test +15%</c:v>
                </c:pt>
              </c:strCache>
            </c:strRef>
          </c:cat>
          <c:val>
            <c:numRef>
              <c:f>Graphiques!$B$4:$B$8</c:f>
              <c:numCache>
                <c:formatCode>#,##0</c:formatCode>
                <c:ptCount val="5"/>
                <c:pt idx="0">
                  <c:v>79260</c:v>
                </c:pt>
                <c:pt idx="1">
                  <c:v>18090</c:v>
                </c:pt>
                <c:pt idx="2">
                  <c:v>17930</c:v>
                </c:pt>
                <c:pt idx="3">
                  <c:v>17390</c:v>
                </c:pt>
                <c:pt idx="4">
                  <c:v>17080</c:v>
                </c:pt>
              </c:numCache>
            </c:numRef>
          </c:val>
        </c:ser>
        <c:gapWidth val="150"/>
        <c:overlap val="0"/>
        <c:axId val="28940940"/>
        <c:axId val="69519724"/>
      </c:barChart>
      <c:catAx>
        <c:axId val="289409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Modalité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19724"/>
        <c:crosses val="autoZero"/>
        <c:auto val="1"/>
        <c:lblAlgn val="ctr"/>
        <c:lblOffset val="100"/>
        <c:noMultiLvlLbl val="0"/>
      </c:catAx>
      <c:valAx>
        <c:axId val="695197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Exposition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409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Ressource HT par modalité (cumul 2022-2025)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Graphiques!C3</c:f>
              <c:strCache>
                <c:ptCount val="1"/>
                <c:pt idx="0">
                  <c:v>Ressource HT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Graphiques!$A$4:$A$8</c:f>
              <c:strCache>
                <c:ptCount val="5"/>
                <c:pt idx="0">
                  <c:v>Témoin</c:v>
                </c:pt>
                <c:pt idx="1">
                  <c:v>Test -5%</c:v>
                </c:pt>
                <c:pt idx="2">
                  <c:v>Test +5%</c:v>
                </c:pt>
                <c:pt idx="3">
                  <c:v>Test +10%</c:v>
                </c:pt>
                <c:pt idx="4">
                  <c:v>Test +15%</c:v>
                </c:pt>
              </c:strCache>
            </c:strRef>
          </c:cat>
          <c:val>
            <c:numRef>
              <c:f>Graphiques!$C$4:$C$8</c:f>
              <c:numCache>
                <c:formatCode>#,##0" €"</c:formatCode>
                <c:ptCount val="5"/>
                <c:pt idx="0">
                  <c:v>80116222</c:v>
                </c:pt>
                <c:pt idx="1">
                  <c:v>17321737</c:v>
                </c:pt>
                <c:pt idx="2">
                  <c:v>19008260</c:v>
                </c:pt>
                <c:pt idx="3">
                  <c:v>19256366</c:v>
                </c:pt>
                <c:pt idx="4">
                  <c:v>19729346</c:v>
                </c:pt>
              </c:numCache>
            </c:numRef>
          </c:val>
        </c:ser>
        <c:gapWidth val="150"/>
        <c:overlap val="0"/>
        <c:axId val="35926473"/>
        <c:axId val="15238390"/>
      </c:barChart>
      <c:catAx>
        <c:axId val="359264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Modalité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38390"/>
        <c:crosses val="autoZero"/>
        <c:auto val="1"/>
        <c:lblAlgn val="ctr"/>
        <c:lblOffset val="100"/>
        <c:noMultiLvlLbl val="0"/>
      </c:catAx>
      <c:valAx>
        <c:axId val="152383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Ressource HT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264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Majoration moyenne par modalité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Graphiques!B23</c:f>
              <c:strCache>
                <c:ptCount val="1"/>
                <c:pt idx="0">
                  <c:v>Majoration moy.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Graphiques!$A$24:$A$28</c:f>
              <c:strCache>
                <c:ptCount val="5"/>
                <c:pt idx="0">
                  <c:v>Témoin</c:v>
                </c:pt>
                <c:pt idx="1">
                  <c:v>Test -5%</c:v>
                </c:pt>
                <c:pt idx="2">
                  <c:v>Test +5%</c:v>
                </c:pt>
                <c:pt idx="3">
                  <c:v>Test +10%</c:v>
                </c:pt>
                <c:pt idx="4">
                  <c:v>Test +15%</c:v>
                </c:pt>
              </c:strCache>
            </c:strRef>
          </c:cat>
          <c:val>
            <c:numRef>
              <c:f>Graphiques!$B$24:$B$28</c:f>
              <c:numCache>
                <c:formatCode>0.0%</c:formatCode>
                <c:ptCount val="5"/>
                <c:pt idx="0">
                  <c:v>0.0497900580368408</c:v>
                </c:pt>
                <c:pt idx="1">
                  <c:v>0.0241243781094527</c:v>
                </c:pt>
                <c:pt idx="2">
                  <c:v>0.071983825989961</c:v>
                </c:pt>
                <c:pt idx="3">
                  <c:v>0.0952564692351926</c:v>
                </c:pt>
                <c:pt idx="4">
                  <c:v>0.125782201405152</c:v>
                </c:pt>
              </c:numCache>
            </c:numRef>
          </c:val>
        </c:ser>
        <c:gapWidth val="150"/>
        <c:overlap val="0"/>
        <c:axId val="9069798"/>
        <c:axId val="32584610"/>
      </c:barChart>
      <c:catAx>
        <c:axId val="90697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Modalité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84610"/>
        <c:crosses val="autoZero"/>
        <c:auto val="1"/>
        <c:lblAlgn val="ctr"/>
        <c:lblOffset val="100"/>
        <c:noMultiLvlLbl val="0"/>
      </c:catAx>
      <c:valAx>
        <c:axId val="325846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Majoration moyenne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97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Taux de résiliation par modalité (fenêtre + hors fenêtre)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Graphiques!C23</c:f>
              <c:strCache>
                <c:ptCount val="1"/>
                <c:pt idx="0">
                  <c:v>Résil. fenêtre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Graphiques!$A$24:$A$28</c:f>
              <c:strCache>
                <c:ptCount val="5"/>
                <c:pt idx="0">
                  <c:v>Témoin</c:v>
                </c:pt>
                <c:pt idx="1">
                  <c:v>Test -5%</c:v>
                </c:pt>
                <c:pt idx="2">
                  <c:v>Test +5%</c:v>
                </c:pt>
                <c:pt idx="3">
                  <c:v>Test +10%</c:v>
                </c:pt>
                <c:pt idx="4">
                  <c:v>Test +15%</c:v>
                </c:pt>
              </c:strCache>
            </c:strRef>
          </c:cat>
          <c:val>
            <c:numRef>
              <c:f>Graphiques!$C$24:$C$28</c:f>
              <c:numCache>
                <c:formatCode>0.0%</c:formatCode>
                <c:ptCount val="5"/>
                <c:pt idx="0">
                  <c:v>0.143984733787535</c:v>
                </c:pt>
                <c:pt idx="1">
                  <c:v>0.125686567164179</c:v>
                </c:pt>
                <c:pt idx="2">
                  <c:v>0.158741773563859</c:v>
                </c:pt>
                <c:pt idx="3">
                  <c:v>0.175539390454284</c:v>
                </c:pt>
                <c:pt idx="4">
                  <c:v>0.198074355971897</c:v>
                </c:pt>
              </c:numCache>
            </c:numRef>
          </c:val>
        </c:ser>
        <c:ser>
          <c:idx val="1"/>
          <c:order val="1"/>
          <c:tx>
            <c:strRef>
              <c:f>Graphiques!D23</c:f>
              <c:strCache>
                <c:ptCount val="1"/>
                <c:pt idx="0">
                  <c:v>Résil. hors fenêtre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Graphiques!$A$24:$A$28</c:f>
              <c:strCache>
                <c:ptCount val="5"/>
                <c:pt idx="0">
                  <c:v>Témoin</c:v>
                </c:pt>
                <c:pt idx="1">
                  <c:v>Test -5%</c:v>
                </c:pt>
                <c:pt idx="2">
                  <c:v>Test +5%</c:v>
                </c:pt>
                <c:pt idx="3">
                  <c:v>Test +10%</c:v>
                </c:pt>
                <c:pt idx="4">
                  <c:v>Test +15%</c:v>
                </c:pt>
              </c:strCache>
            </c:strRef>
          </c:cat>
          <c:val>
            <c:numRef>
              <c:f>Graphiques!$D$24:$D$28</c:f>
              <c:numCache>
                <c:formatCode>0.0%</c:formatCode>
                <c:ptCount val="5"/>
                <c:pt idx="0">
                  <c:v>0.0996534191269241</c:v>
                </c:pt>
                <c:pt idx="1">
                  <c:v>0.0924168048645661</c:v>
                </c:pt>
                <c:pt idx="2">
                  <c:v>0.108683212493028</c:v>
                </c:pt>
                <c:pt idx="3">
                  <c:v>0.120452558941921</c:v>
                </c:pt>
                <c:pt idx="4">
                  <c:v>0.132978337236534</c:v>
                </c:pt>
              </c:numCache>
            </c:numRef>
          </c:val>
        </c:ser>
        <c:gapWidth val="150"/>
        <c:overlap val="100"/>
        <c:axId val="21700490"/>
        <c:axId val="43514118"/>
      </c:barChart>
      <c:catAx>
        <c:axId val="217004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Modalité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14118"/>
        <c:crosses val="autoZero"/>
        <c:auto val="1"/>
        <c:lblAlgn val="ctr"/>
        <c:lblOffset val="100"/>
        <c:noMultiLvlLbl val="0"/>
      </c:catAx>
      <c:valAx>
        <c:axId val="435141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Taux de résiliation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004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14</xdr:col>
      <xdr:colOff>4320</xdr:colOff>
      <xdr:row>19</xdr:row>
      <xdr:rowOff>1080</xdr:rowOff>
    </xdr:to>
    <xdr:graphicFrame>
      <xdr:nvGraphicFramePr>
        <xdr:cNvPr id="0" name="Chart 1"/>
        <xdr:cNvGraphicFramePr/>
      </xdr:nvGraphicFramePr>
      <xdr:xfrm>
        <a:off x="4651920" y="542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21</xdr:row>
      <xdr:rowOff>0</xdr:rowOff>
    </xdr:from>
    <xdr:to>
      <xdr:col>14</xdr:col>
      <xdr:colOff>4320</xdr:colOff>
      <xdr:row>38</xdr:row>
      <xdr:rowOff>1080</xdr:rowOff>
    </xdr:to>
    <xdr:graphicFrame>
      <xdr:nvGraphicFramePr>
        <xdr:cNvPr id="1" name="Chart 2"/>
        <xdr:cNvGraphicFramePr/>
      </xdr:nvGraphicFramePr>
      <xdr:xfrm>
        <a:off x="4651920" y="41623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40</xdr:row>
      <xdr:rowOff>0</xdr:rowOff>
    </xdr:from>
    <xdr:to>
      <xdr:col>14</xdr:col>
      <xdr:colOff>4320</xdr:colOff>
      <xdr:row>57</xdr:row>
      <xdr:rowOff>1080</xdr:rowOff>
    </xdr:to>
    <xdr:graphicFrame>
      <xdr:nvGraphicFramePr>
        <xdr:cNvPr id="2" name="Chart 3"/>
        <xdr:cNvGraphicFramePr/>
      </xdr:nvGraphicFramePr>
      <xdr:xfrm>
        <a:off x="4651920" y="778176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59</xdr:row>
      <xdr:rowOff>0</xdr:rowOff>
    </xdr:from>
    <xdr:to>
      <xdr:col>14</xdr:col>
      <xdr:colOff>4320</xdr:colOff>
      <xdr:row>76</xdr:row>
      <xdr:rowOff>1440</xdr:rowOff>
    </xdr:to>
    <xdr:graphicFrame>
      <xdr:nvGraphicFramePr>
        <xdr:cNvPr id="3" name="Chart 4"/>
        <xdr:cNvGraphicFramePr/>
      </xdr:nvGraphicFramePr>
      <xdr:xfrm>
        <a:off x="4651920" y="1140156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6" min="5" style="0" width="18"/>
    <col collapsed="false" customWidth="true" hidden="false" outlineLevel="0" max="8" min="7" style="0" width="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36" hidden="false" customHeight="true" outlineLevel="0" collapsed="false">
      <c r="A5" s="4" t="n">
        <f aca="false">SUM(Données!C2:C21)</f>
        <v>149750</v>
      </c>
      <c r="B5" s="4"/>
      <c r="C5" s="5" t="n">
        <f aca="false">SUM(Données!E2:E21)</f>
        <v>155431931</v>
      </c>
      <c r="D5" s="5"/>
      <c r="E5" s="5" t="n">
        <f aca="false">SUMPRODUCT(Données!C2:C21,Données!D2:D21)/SUM(Données!C2:C21)</f>
        <v>1294.89355592654</v>
      </c>
      <c r="F5" s="5"/>
      <c r="G5" s="6" t="n">
        <f aca="false">SUMPRODUCT(Données!C2:C21,Données!G2:G21)/SUM(Données!C2:C21)</f>
        <v>0.916856227045075</v>
      </c>
      <c r="H5" s="6"/>
    </row>
    <row r="8" customFormat="false" ht="16.15" hidden="false" customHeight="false" outlineLevel="0" collapsed="false">
      <c r="A8" s="7" t="s">
        <v>6</v>
      </c>
      <c r="B8" s="7"/>
      <c r="C8" s="7"/>
      <c r="D8" s="7"/>
      <c r="E8" s="7"/>
      <c r="F8" s="7"/>
    </row>
    <row r="9" customFormat="false" ht="15" hidden="false" customHeight="false" outlineLevel="0" collapsed="false">
      <c r="A9" s="8" t="s">
        <v>7</v>
      </c>
      <c r="B9" s="8" t="s">
        <v>8</v>
      </c>
      <c r="C9" s="8" t="s">
        <v>9</v>
      </c>
      <c r="D9" s="8" t="s">
        <v>10</v>
      </c>
      <c r="E9" s="8" t="s">
        <v>11</v>
      </c>
      <c r="F9" s="8" t="s">
        <v>12</v>
      </c>
    </row>
    <row r="10" customFormat="false" ht="15" hidden="false" customHeight="false" outlineLevel="0" collapsed="false">
      <c r="A10" s="9" t="s">
        <v>13</v>
      </c>
      <c r="B10" s="10" t="n">
        <f aca="false">SUMIF(Données!B:B,A10,Données!C:C)</f>
        <v>79260</v>
      </c>
      <c r="C10" s="11" t="n">
        <f aca="false">B10/SUM($B$10:$B$14)</f>
        <v>0.529282136894825</v>
      </c>
      <c r="D10" s="12" t="n">
        <f aca="false">SUMIF(Données!B:B,A10,Données!E:E)</f>
        <v>80116222</v>
      </c>
      <c r="E10" s="11" t="n">
        <f aca="false">D10/SUM($D$10:$D$14)</f>
        <v>0.515442492958542</v>
      </c>
      <c r="F10" s="12" t="n">
        <f aca="false">D10/B10</f>
        <v>1010.80269997477</v>
      </c>
    </row>
    <row r="11" customFormat="false" ht="15" hidden="false" customHeight="false" outlineLevel="0" collapsed="false">
      <c r="A11" s="9" t="s">
        <v>14</v>
      </c>
      <c r="B11" s="10" t="n">
        <f aca="false">SUMIF(Données!B:B,A11,Données!C:C)</f>
        <v>18090</v>
      </c>
      <c r="C11" s="11" t="n">
        <f aca="false">B11/SUM($B$10:$B$14)</f>
        <v>0.120801335559265</v>
      </c>
      <c r="D11" s="12" t="n">
        <f aca="false">SUMIF(Données!B:B,A11,Données!E:E)</f>
        <v>17321737</v>
      </c>
      <c r="E11" s="11" t="n">
        <f aca="false">D11/SUM($D$10:$D$14)</f>
        <v>0.111442590261585</v>
      </c>
      <c r="F11" s="12" t="n">
        <f aca="false">D11/B11</f>
        <v>957.531066887783</v>
      </c>
    </row>
    <row r="12" customFormat="false" ht="15" hidden="false" customHeight="false" outlineLevel="0" collapsed="false">
      <c r="A12" s="9" t="s">
        <v>15</v>
      </c>
      <c r="B12" s="10" t="n">
        <f aca="false">SUMIF(Données!B:B,A12,Données!C:C)</f>
        <v>17930</v>
      </c>
      <c r="C12" s="11" t="n">
        <f aca="false">B12/SUM($B$10:$B$14)</f>
        <v>0.119732888146912</v>
      </c>
      <c r="D12" s="12" t="n">
        <f aca="false">SUMIF(Données!B:B,A12,Données!E:E)</f>
        <v>19008260</v>
      </c>
      <c r="E12" s="11" t="n">
        <f aca="false">D12/SUM($D$10:$D$14)</f>
        <v>0.12229314708829</v>
      </c>
      <c r="F12" s="12" t="n">
        <f aca="false">D12/B12</f>
        <v>1060.13720022309</v>
      </c>
    </row>
    <row r="13" customFormat="false" ht="15" hidden="false" customHeight="false" outlineLevel="0" collapsed="false">
      <c r="A13" s="9" t="s">
        <v>16</v>
      </c>
      <c r="B13" s="10" t="n">
        <f aca="false">SUMIF(Données!B:B,A13,Données!C:C)</f>
        <v>17390</v>
      </c>
      <c r="C13" s="11" t="n">
        <f aca="false">B13/SUM($B$10:$B$14)</f>
        <v>0.116126878130217</v>
      </c>
      <c r="D13" s="12" t="n">
        <f aca="false">SUMIF(Données!B:B,A13,Données!E:E)</f>
        <v>19256366</v>
      </c>
      <c r="E13" s="11" t="n">
        <f aca="false">D13/SUM($D$10:$D$14)</f>
        <v>0.12388938280642</v>
      </c>
      <c r="F13" s="12" t="n">
        <f aca="false">D13/B13</f>
        <v>1107.32409430707</v>
      </c>
    </row>
    <row r="14" customFormat="false" ht="15" hidden="false" customHeight="false" outlineLevel="0" collapsed="false">
      <c r="A14" s="9" t="s">
        <v>17</v>
      </c>
      <c r="B14" s="10" t="n">
        <f aca="false">SUMIF(Données!B:B,A14,Données!C:C)</f>
        <v>17080</v>
      </c>
      <c r="C14" s="11" t="n">
        <f aca="false">B14/SUM($B$10:$B$14)</f>
        <v>0.114056761268781</v>
      </c>
      <c r="D14" s="12" t="n">
        <f aca="false">SUMIF(Données!B:B,A14,Données!E:E)</f>
        <v>19729346</v>
      </c>
      <c r="E14" s="11" t="n">
        <f aca="false">D14/SUM($D$10:$D$14)</f>
        <v>0.126932386885163</v>
      </c>
      <c r="F14" s="12" t="n">
        <f aca="false">D14/B14</f>
        <v>1155.11393442623</v>
      </c>
    </row>
    <row r="15" customFormat="false" ht="15" hidden="false" customHeight="false" outlineLevel="0" collapsed="false">
      <c r="A15" s="13" t="s">
        <v>18</v>
      </c>
      <c r="B15" s="14" t="n">
        <f aca="false">SUM(B10:B14)</f>
        <v>149750</v>
      </c>
      <c r="C15" s="15" t="n">
        <f aca="false">SUM(C10:C14)</f>
        <v>1</v>
      </c>
      <c r="D15" s="16" t="n">
        <f aca="false">SUM(D10:D14)</f>
        <v>155431931</v>
      </c>
      <c r="E15" s="15" t="n">
        <f aca="false">SUM(E10:E14)</f>
        <v>1</v>
      </c>
      <c r="F15" s="16" t="n">
        <f aca="false">D15/B15</f>
        <v>1037.94277796327</v>
      </c>
    </row>
    <row r="18" customFormat="false" ht="16.15" hidden="false" customHeight="false" outlineLevel="0" collapsed="false">
      <c r="A18" s="7" t="s">
        <v>19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17" t="s">
        <v>7</v>
      </c>
      <c r="B19" s="17" t="s">
        <v>20</v>
      </c>
      <c r="C19" s="17" t="s">
        <v>21</v>
      </c>
      <c r="D19" s="17" t="s">
        <v>22</v>
      </c>
      <c r="E19" s="17" t="s">
        <v>23</v>
      </c>
      <c r="F19" s="17" t="s">
        <v>24</v>
      </c>
    </row>
    <row r="20" customFormat="false" ht="15" hidden="false" customHeight="false" outlineLevel="0" collapsed="false">
      <c r="A20" s="9" t="s">
        <v>13</v>
      </c>
      <c r="B20" s="18" t="n">
        <f aca="false">SUMPRODUCT((Données!$B$2:$B$21=A20)*Données!$C$2:$C$21*Données!$F$2:$F$21)/SUMIF(Données!$B$2:$B$21,A20,Données!$C$2:$C$21)</f>
        <v>0.0497900580368408</v>
      </c>
      <c r="C20" s="18" t="n">
        <f aca="false">SUMPRODUCT((Données!$B$2:$B$21=A20)*Données!$C$2:$C$21*Données!$H$2:$H$21)/SUMIF(Données!$B$2:$B$21,A20,Données!$C$2:$C$21)</f>
        <v>0.143984733787535</v>
      </c>
      <c r="D20" s="18" t="n">
        <f aca="false">SUMPRODUCT((Données!$B$2:$B$21=A20)*Données!$C$2:$C$21*Données!$I$2:$I$21)/SUMIF(Données!$B$2:$B$21,A20,Données!$C$2:$C$21)</f>
        <v>0.0996534191269241</v>
      </c>
      <c r="E20" s="18" t="n">
        <f aca="false">C20+D20</f>
        <v>0.243638152914459</v>
      </c>
      <c r="F20" s="19" t="n">
        <f aca="false">SUMPRODUCT((Données!$B$2:$B$21=A20)*Données!$C$2:$C$21*Données!$J$2:$J$21)/SUMIF(Données!$B$2:$B$21,A20,Données!$C$2:$C$21)</f>
        <v>1</v>
      </c>
    </row>
    <row r="21" customFormat="false" ht="15" hidden="false" customHeight="false" outlineLevel="0" collapsed="false">
      <c r="A21" s="9" t="s">
        <v>14</v>
      </c>
      <c r="B21" s="18" t="n">
        <f aca="false">SUMPRODUCT((Données!$B$2:$B$21=A21)*Données!$C$2:$C$21*Données!$F$2:$F$21)/SUMIF(Données!$B$2:$B$21,A21,Données!$C$2:$C$21)</f>
        <v>0.0241243781094527</v>
      </c>
      <c r="C21" s="18" t="n">
        <f aca="false">SUMPRODUCT((Données!$B$2:$B$21=A21)*Données!$C$2:$C$21*Données!$H$2:$H$21)/SUMIF(Données!$B$2:$B$21,A21,Données!$C$2:$C$21)</f>
        <v>0.125686567164179</v>
      </c>
      <c r="D21" s="18" t="n">
        <f aca="false">SUMPRODUCT((Données!$B$2:$B$21=A21)*Données!$C$2:$C$21*Données!$I$2:$I$21)/SUMIF(Données!$B$2:$B$21,A21,Données!$C$2:$C$21)</f>
        <v>0.0924168048645661</v>
      </c>
      <c r="E21" s="18" t="n">
        <f aca="false">C21+D21</f>
        <v>0.218103372028745</v>
      </c>
      <c r="F21" s="19" t="n">
        <f aca="false">SUMPRODUCT((Données!$B$2:$B$21=A21)*Données!$C$2:$C$21*Données!$J$2:$J$21)/SUMIF(Données!$B$2:$B$21,A21,Données!$C$2:$C$21)</f>
        <v>0.952</v>
      </c>
    </row>
    <row r="22" customFormat="false" ht="15" hidden="false" customHeight="false" outlineLevel="0" collapsed="false">
      <c r="A22" s="9" t="s">
        <v>15</v>
      </c>
      <c r="B22" s="18" t="n">
        <f aca="false">SUMPRODUCT((Données!$B$2:$B$21=A22)*Données!$C$2:$C$21*Données!$F$2:$F$21)/SUMIF(Données!$B$2:$B$21,A22,Données!$C$2:$C$21)</f>
        <v>0.071983825989961</v>
      </c>
      <c r="C22" s="18" t="n">
        <f aca="false">SUMPRODUCT((Données!$B$2:$B$21=A22)*Données!$C$2:$C$21*Données!$H$2:$H$21)/SUMIF(Données!$B$2:$B$21,A22,Données!$C$2:$C$21)</f>
        <v>0.158741773563859</v>
      </c>
      <c r="D22" s="18" t="n">
        <f aca="false">SUMPRODUCT((Données!$B$2:$B$21=A22)*Données!$C$2:$C$21*Données!$I$2:$I$21)/SUMIF(Données!$B$2:$B$21,A22,Données!$C$2:$C$21)</f>
        <v>0.108683212493028</v>
      </c>
      <c r="E22" s="18" t="n">
        <f aca="false">C22+D22</f>
        <v>0.267424986056888</v>
      </c>
      <c r="F22" s="19" t="n">
        <f aca="false">SUMPRODUCT((Données!$B$2:$B$21=A22)*Données!$C$2:$C$21*Données!$J$2:$J$21)/SUMIF(Données!$B$2:$B$21,A22,Données!$C$2:$C$21)</f>
        <v>1.048</v>
      </c>
    </row>
    <row r="23" customFormat="false" ht="15" hidden="false" customHeight="false" outlineLevel="0" collapsed="false">
      <c r="A23" s="9" t="s">
        <v>16</v>
      </c>
      <c r="B23" s="18" t="n">
        <f aca="false">SUMPRODUCT((Données!$B$2:$B$21=A23)*Données!$C$2:$C$21*Données!$F$2:$F$21)/SUMIF(Données!$B$2:$B$21,A23,Données!$C$2:$C$21)</f>
        <v>0.0952564692351926</v>
      </c>
      <c r="C23" s="18" t="n">
        <f aca="false">SUMPRODUCT((Données!$B$2:$B$21=A23)*Données!$C$2:$C$21*Données!$H$2:$H$21)/SUMIF(Données!$B$2:$B$21,A23,Données!$C$2:$C$21)</f>
        <v>0.175539390454284</v>
      </c>
      <c r="D23" s="18" t="n">
        <f aca="false">SUMPRODUCT((Données!$B$2:$B$21=A23)*Données!$C$2:$C$21*Données!$I$2:$I$21)/SUMIF(Données!$B$2:$B$21,A23,Données!$C$2:$C$21)</f>
        <v>0.120452558941921</v>
      </c>
      <c r="E23" s="18" t="n">
        <f aca="false">C23+D23</f>
        <v>0.295991949396205</v>
      </c>
      <c r="F23" s="19" t="n">
        <f aca="false">SUMPRODUCT((Données!$B$2:$B$21=A23)*Données!$C$2:$C$21*Données!$J$2:$J$21)/SUMIF(Données!$B$2:$B$21,A23,Données!$C$2:$C$21)</f>
        <v>1.095</v>
      </c>
    </row>
    <row r="24" customFormat="false" ht="15" hidden="false" customHeight="false" outlineLevel="0" collapsed="false">
      <c r="A24" s="9" t="s">
        <v>17</v>
      </c>
      <c r="B24" s="18" t="n">
        <f aca="false">SUMPRODUCT((Données!$B$2:$B$21=A24)*Données!$C$2:$C$21*Données!$F$2:$F$21)/SUMIF(Données!$B$2:$B$21,A24,Données!$C$2:$C$21)</f>
        <v>0.125782201405152</v>
      </c>
      <c r="C24" s="18" t="n">
        <f aca="false">SUMPRODUCT((Données!$B$2:$B$21=A24)*Données!$C$2:$C$21*Données!$H$2:$H$21)/SUMIF(Données!$B$2:$B$21,A24,Données!$C$2:$C$21)</f>
        <v>0.198074355971897</v>
      </c>
      <c r="D24" s="18" t="n">
        <f aca="false">SUMPRODUCT((Données!$B$2:$B$21=A24)*Données!$C$2:$C$21*Données!$I$2:$I$21)/SUMIF(Données!$B$2:$B$21,A24,Données!$C$2:$C$21)</f>
        <v>0.132978337236534</v>
      </c>
      <c r="E24" s="18" t="n">
        <f aca="false">C24+D24</f>
        <v>0.331052693208431</v>
      </c>
      <c r="F24" s="19" t="n">
        <f aca="false">SUMPRODUCT((Données!$B$2:$B$21=A24)*Données!$C$2:$C$21*Données!$J$2:$J$21)/SUMIF(Données!$B$2:$B$21,A24,Données!$C$2:$C$21)</f>
        <v>1.142</v>
      </c>
    </row>
    <row r="28" customFormat="false" ht="16.15" hidden="false" customHeight="false" outlineLevel="0" collapsed="false">
      <c r="A28" s="7" t="s">
        <v>25</v>
      </c>
      <c r="B28" s="7"/>
      <c r="C28" s="7"/>
      <c r="D28" s="7"/>
      <c r="E28" s="7"/>
      <c r="F28" s="7"/>
    </row>
    <row r="29" customFormat="false" ht="15" hidden="false" customHeight="false" outlineLevel="0" collapsed="false">
      <c r="A29" s="8" t="s">
        <v>26</v>
      </c>
      <c r="B29" s="8" t="s">
        <v>8</v>
      </c>
      <c r="C29" s="8" t="s">
        <v>10</v>
      </c>
      <c r="D29" s="8" t="s">
        <v>12</v>
      </c>
      <c r="E29" s="8" t="s">
        <v>27</v>
      </c>
      <c r="F29" s="8" t="s">
        <v>23</v>
      </c>
    </row>
    <row r="30" customFormat="false" ht="15" hidden="false" customHeight="false" outlineLevel="0" collapsed="false">
      <c r="A30" s="20" t="n">
        <v>2022</v>
      </c>
      <c r="B30" s="10" t="n">
        <f aca="false">SUMIF(Données!A:A,A30,Données!C:C)</f>
        <v>34840</v>
      </c>
      <c r="C30" s="12" t="n">
        <f aca="false">SUMIF(Données!A:A,A30,Données!E:E)</f>
        <v>33931177</v>
      </c>
      <c r="D30" s="12" t="n">
        <f aca="false">C30/B30</f>
        <v>973.914380022962</v>
      </c>
      <c r="E30" s="11" t="n">
        <f aca="false">SUMPRODUCT((Données!$A$2:$A$21=A30)*Données!$C$2:$C$21*Données!$G$2:$G$21)/B30</f>
        <v>0.900368828932262</v>
      </c>
      <c r="F30" s="11" t="n">
        <f aca="false">SUMPRODUCT((Données!$A$2:$A$21=A30)*Données!$C$2:$C$21*(Données!$H$2:$H$21+Données!$I$2:$I$21))/B30</f>
        <v>0.248681974741676</v>
      </c>
    </row>
    <row r="31" customFormat="false" ht="15" hidden="false" customHeight="false" outlineLevel="0" collapsed="false">
      <c r="A31" s="20" t="n">
        <v>2023</v>
      </c>
      <c r="B31" s="10" t="n">
        <f aca="false">SUMIF(Données!A:A,A31,Données!C:C)</f>
        <v>36210</v>
      </c>
      <c r="C31" s="12" t="n">
        <f aca="false">SUMIF(Données!A:A,A31,Données!E:E)</f>
        <v>36438038</v>
      </c>
      <c r="D31" s="12" t="n">
        <f aca="false">C31/B31</f>
        <v>1006.29765258216</v>
      </c>
      <c r="E31" s="11" t="n">
        <f aca="false">SUMPRODUCT((Données!$A$2:$A$21=A31)*Données!$C$2:$C$21*Données!$G$2:$G$21)/B31</f>
        <v>0.908440486053577</v>
      </c>
      <c r="F31" s="11" t="n">
        <f aca="false">SUMPRODUCT((Données!$A$2:$A$21=A31)*Données!$C$2:$C$21*(Données!$H$2:$H$21+Données!$I$2:$I$21))/B31</f>
        <v>0.255821320077327</v>
      </c>
    </row>
    <row r="32" customFormat="false" ht="15" hidden="false" customHeight="false" outlineLevel="0" collapsed="false">
      <c r="A32" s="20" t="n">
        <v>2024</v>
      </c>
      <c r="B32" s="10" t="n">
        <f aca="false">SUMIF(Données!A:A,A32,Données!C:C)</f>
        <v>38280</v>
      </c>
      <c r="C32" s="12" t="n">
        <f aca="false">SUMIF(Données!A:A,A32,Données!E:E)</f>
        <v>40335848</v>
      </c>
      <c r="D32" s="12" t="n">
        <f aca="false">C32/B32</f>
        <v>1053.70553814002</v>
      </c>
      <c r="E32" s="11" t="n">
        <f aca="false">SUMPRODUCT((Données!$A$2:$A$21=A32)*Données!$C$2:$C$21*Données!$G$2:$G$21)/B32</f>
        <v>0.92123249738767</v>
      </c>
      <c r="F32" s="11" t="n">
        <f aca="false">SUMPRODUCT((Données!$A$2:$A$21=A32)*Données!$C$2:$C$21*(Données!$H$2:$H$21+Données!$I$2:$I$21))/B32</f>
        <v>0.26301776384535</v>
      </c>
    </row>
    <row r="33" customFormat="false" ht="15" hidden="false" customHeight="false" outlineLevel="0" collapsed="false">
      <c r="A33" s="20" t="n">
        <v>2025</v>
      </c>
      <c r="B33" s="10" t="n">
        <f aca="false">SUMIF(Données!A:A,A33,Données!C:C)</f>
        <v>40420</v>
      </c>
      <c r="C33" s="12" t="n">
        <f aca="false">SUMIF(Données!A:A,A33,Données!E:E)</f>
        <v>44726868</v>
      </c>
      <c r="D33" s="12" t="n">
        <f aca="false">C33/B33</f>
        <v>1106.55289460663</v>
      </c>
      <c r="E33" s="11" t="n">
        <f aca="false">SUMPRODUCT((Données!$A$2:$A$21=A33)*Données!$C$2:$C$21*Données!$G$2:$G$21)/B33</f>
        <v>0.934462147451757</v>
      </c>
      <c r="F33" s="11" t="n">
        <f aca="false">SUMPRODUCT((Données!$A$2:$A$21=A33)*Données!$C$2:$C$21*(Données!$H$2:$H$21+Données!$I$2:$I$21))/B33</f>
        <v>0.268608857001484</v>
      </c>
    </row>
  </sheetData>
  <mergeCells count="13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8:F8"/>
    <mergeCell ref="A18:F18"/>
    <mergeCell ref="A28:F28"/>
  </mergeCells>
  <conditionalFormatting sqref="E20:E24">
    <cfRule type="colorScale" priority="2">
      <colorScale>
        <cfvo type="min" val="0"/>
        <cfvo type="max" val="0"/>
        <color rgb="FFC6E5E3"/>
        <color rgb="FFF96167"/>
      </colorScale>
    </cfRule>
  </conditionalFormatting>
  <conditionalFormatting sqref="B20:B24">
    <cfRule type="colorScale" priority="3">
      <colorScale>
        <cfvo type="min" val="0"/>
        <cfvo type="max" val="0"/>
        <color rgb="FFC6E5E3"/>
        <color rgb="FFF9616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5" min="4" style="0" width="17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9" min="8" style="0" width="22"/>
    <col collapsed="false" customWidth="true" hidden="false" outlineLevel="0" max="10" min="10" style="0" width="17"/>
  </cols>
  <sheetData>
    <row r="1" customFormat="false" ht="37.5" hidden="false" customHeight="true" outlineLevel="0" collapsed="false">
      <c r="A1" s="21" t="s">
        <v>26</v>
      </c>
      <c r="B1" s="21" t="s">
        <v>28</v>
      </c>
      <c r="C1" s="21" t="s">
        <v>8</v>
      </c>
      <c r="D1" s="21" t="s">
        <v>4</v>
      </c>
      <c r="E1" s="21" t="s">
        <v>10</v>
      </c>
      <c r="F1" s="21" t="s">
        <v>29</v>
      </c>
      <c r="G1" s="21" t="s">
        <v>27</v>
      </c>
      <c r="H1" s="21" t="s">
        <v>30</v>
      </c>
      <c r="I1" s="21" t="s">
        <v>31</v>
      </c>
      <c r="J1" s="21" t="s">
        <v>32</v>
      </c>
    </row>
    <row r="2" customFormat="false" ht="15" hidden="false" customHeight="false" outlineLevel="0" collapsed="false">
      <c r="A2" s="22" t="n">
        <v>2022</v>
      </c>
      <c r="B2" s="23" t="s">
        <v>13</v>
      </c>
      <c r="C2" s="24" t="n">
        <v>18420</v>
      </c>
      <c r="D2" s="25" t="n">
        <v>1182</v>
      </c>
      <c r="E2" s="25" t="n">
        <v>17465640</v>
      </c>
      <c r="F2" s="26" t="n">
        <v>0.042</v>
      </c>
      <c r="G2" s="26" t="n">
        <v>0.912</v>
      </c>
      <c r="H2" s="26" t="n">
        <v>0.138</v>
      </c>
      <c r="I2" s="26" t="n">
        <v>0.096</v>
      </c>
      <c r="J2" s="27" t="n">
        <v>1</v>
      </c>
    </row>
    <row r="3" customFormat="false" ht="15" hidden="false" customHeight="false" outlineLevel="0" collapsed="false">
      <c r="A3" s="20" t="n">
        <v>2022</v>
      </c>
      <c r="B3" s="9" t="s">
        <v>14</v>
      </c>
      <c r="C3" s="28" t="n">
        <v>4210</v>
      </c>
      <c r="D3" s="29" t="n">
        <v>1125</v>
      </c>
      <c r="E3" s="29" t="n">
        <v>3787425</v>
      </c>
      <c r="F3" s="18" t="n">
        <v>0.021</v>
      </c>
      <c r="G3" s="18" t="n">
        <v>0.928</v>
      </c>
      <c r="H3" s="18" t="n">
        <v>0.121</v>
      </c>
      <c r="I3" s="18" t="n">
        <v>0.088</v>
      </c>
      <c r="J3" s="19" t="n">
        <v>0.952</v>
      </c>
    </row>
    <row r="4" customFormat="false" ht="15" hidden="false" customHeight="false" outlineLevel="0" collapsed="false">
      <c r="A4" s="22" t="n">
        <v>2022</v>
      </c>
      <c r="B4" s="23" t="s">
        <v>15</v>
      </c>
      <c r="C4" s="24" t="n">
        <v>4180</v>
      </c>
      <c r="D4" s="25" t="n">
        <v>1241</v>
      </c>
      <c r="E4" s="25" t="n">
        <v>4151830</v>
      </c>
      <c r="F4" s="26" t="n">
        <v>0.065</v>
      </c>
      <c r="G4" s="26" t="n">
        <v>0.891</v>
      </c>
      <c r="H4" s="26" t="n">
        <v>0.152</v>
      </c>
      <c r="I4" s="26" t="n">
        <v>0.104</v>
      </c>
      <c r="J4" s="27" t="n">
        <v>1.048</v>
      </c>
    </row>
    <row r="5" customFormat="false" ht="15" hidden="false" customHeight="false" outlineLevel="0" collapsed="false">
      <c r="A5" s="20" t="n">
        <v>2022</v>
      </c>
      <c r="B5" s="9" t="s">
        <v>16</v>
      </c>
      <c r="C5" s="28" t="n">
        <v>4050</v>
      </c>
      <c r="D5" s="29" t="n">
        <v>1298</v>
      </c>
      <c r="E5" s="29" t="n">
        <v>4204602</v>
      </c>
      <c r="F5" s="18" t="n">
        <v>0.088</v>
      </c>
      <c r="G5" s="18" t="n">
        <v>0.873</v>
      </c>
      <c r="H5" s="18" t="n">
        <v>0.168</v>
      </c>
      <c r="I5" s="18" t="n">
        <v>0.115</v>
      </c>
      <c r="J5" s="19" t="n">
        <v>1.095</v>
      </c>
    </row>
    <row r="6" customFormat="false" ht="15" hidden="false" customHeight="false" outlineLevel="0" collapsed="false">
      <c r="A6" s="22" t="n">
        <v>2022</v>
      </c>
      <c r="B6" s="23" t="s">
        <v>17</v>
      </c>
      <c r="C6" s="24" t="n">
        <v>3980</v>
      </c>
      <c r="D6" s="25" t="n">
        <v>1356</v>
      </c>
      <c r="E6" s="25" t="n">
        <v>4321680</v>
      </c>
      <c r="F6" s="26" t="n">
        <v>0.118</v>
      </c>
      <c r="G6" s="26" t="n">
        <v>0.855</v>
      </c>
      <c r="H6" s="26" t="n">
        <v>0.189</v>
      </c>
      <c r="I6" s="26" t="n">
        <v>0.127</v>
      </c>
      <c r="J6" s="27" t="n">
        <v>1.142</v>
      </c>
    </row>
    <row r="7" customFormat="false" ht="15" hidden="false" customHeight="false" outlineLevel="0" collapsed="false">
      <c r="A7" s="20" t="n">
        <v>2023</v>
      </c>
      <c r="B7" s="9" t="s">
        <v>13</v>
      </c>
      <c r="C7" s="28" t="n">
        <v>19150</v>
      </c>
      <c r="D7" s="29" t="n">
        <v>1221</v>
      </c>
      <c r="E7" s="29" t="n">
        <v>18763830</v>
      </c>
      <c r="F7" s="18" t="n">
        <v>0.048</v>
      </c>
      <c r="G7" s="18" t="n">
        <v>0.921</v>
      </c>
      <c r="H7" s="18" t="n">
        <v>0.142</v>
      </c>
      <c r="I7" s="18" t="n">
        <v>0.098</v>
      </c>
      <c r="J7" s="19" t="n">
        <v>1</v>
      </c>
    </row>
    <row r="8" customFormat="false" ht="15" hidden="false" customHeight="false" outlineLevel="0" collapsed="false">
      <c r="A8" s="22" t="n">
        <v>2023</v>
      </c>
      <c r="B8" s="23" t="s">
        <v>14</v>
      </c>
      <c r="C8" s="24" t="n">
        <v>4380</v>
      </c>
      <c r="D8" s="25" t="n">
        <v>1162</v>
      </c>
      <c r="E8" s="25" t="n">
        <v>4069680</v>
      </c>
      <c r="F8" s="26" t="n">
        <v>0.023</v>
      </c>
      <c r="G8" s="26" t="n">
        <v>0.935</v>
      </c>
      <c r="H8" s="26" t="n">
        <v>0.124</v>
      </c>
      <c r="I8" s="26" t="n">
        <v>0.091</v>
      </c>
      <c r="J8" s="27" t="n">
        <v>0.952</v>
      </c>
    </row>
    <row r="9" customFormat="false" ht="15" hidden="false" customHeight="false" outlineLevel="0" collapsed="false">
      <c r="A9" s="20" t="n">
        <v>2023</v>
      </c>
      <c r="B9" s="9" t="s">
        <v>15</v>
      </c>
      <c r="C9" s="28" t="n">
        <v>4340</v>
      </c>
      <c r="D9" s="29" t="n">
        <v>1282</v>
      </c>
      <c r="E9" s="29" t="n">
        <v>4463192</v>
      </c>
      <c r="F9" s="18" t="n">
        <v>0.071</v>
      </c>
      <c r="G9" s="18" t="n">
        <v>0.898</v>
      </c>
      <c r="H9" s="18" t="n">
        <v>0.157</v>
      </c>
      <c r="I9" s="18" t="n">
        <v>0.107</v>
      </c>
      <c r="J9" s="19" t="n">
        <v>1.048</v>
      </c>
    </row>
    <row r="10" customFormat="false" ht="15" hidden="false" customHeight="false" outlineLevel="0" collapsed="false">
      <c r="A10" s="22" t="n">
        <v>2023</v>
      </c>
      <c r="B10" s="23" t="s">
        <v>16</v>
      </c>
      <c r="C10" s="24" t="n">
        <v>4210</v>
      </c>
      <c r="D10" s="25" t="n">
        <v>1342</v>
      </c>
      <c r="E10" s="25" t="n">
        <v>4517724</v>
      </c>
      <c r="F10" s="26" t="n">
        <v>0.094</v>
      </c>
      <c r="G10" s="26" t="n">
        <v>0.88</v>
      </c>
      <c r="H10" s="26" t="n">
        <v>0.173</v>
      </c>
      <c r="I10" s="26" t="n">
        <v>0.119</v>
      </c>
      <c r="J10" s="27" t="n">
        <v>1.095</v>
      </c>
    </row>
    <row r="11" customFormat="false" ht="15" hidden="false" customHeight="false" outlineLevel="0" collapsed="false">
      <c r="A11" s="20" t="n">
        <v>2023</v>
      </c>
      <c r="B11" s="9" t="s">
        <v>17</v>
      </c>
      <c r="C11" s="28" t="n">
        <v>4130</v>
      </c>
      <c r="D11" s="29" t="n">
        <v>1401</v>
      </c>
      <c r="E11" s="29" t="n">
        <v>4623612</v>
      </c>
      <c r="F11" s="18" t="n">
        <v>0.124</v>
      </c>
      <c r="G11" s="18" t="n">
        <v>0.862</v>
      </c>
      <c r="H11" s="18" t="n">
        <v>0.196</v>
      </c>
      <c r="I11" s="18" t="n">
        <v>0.131</v>
      </c>
      <c r="J11" s="19" t="n">
        <v>1.142</v>
      </c>
    </row>
    <row r="12" customFormat="false" ht="15" hidden="false" customHeight="false" outlineLevel="0" collapsed="false">
      <c r="A12" s="22" t="n">
        <v>2024</v>
      </c>
      <c r="B12" s="23" t="s">
        <v>13</v>
      </c>
      <c r="C12" s="24" t="n">
        <v>20280</v>
      </c>
      <c r="D12" s="25" t="n">
        <v>1278</v>
      </c>
      <c r="E12" s="25" t="n">
        <v>20810574</v>
      </c>
      <c r="F12" s="26" t="n">
        <v>0.052</v>
      </c>
      <c r="G12" s="26" t="n">
        <v>0.934</v>
      </c>
      <c r="H12" s="26" t="n">
        <v>0.146</v>
      </c>
      <c r="I12" s="26" t="n">
        <v>0.101</v>
      </c>
      <c r="J12" s="27" t="n">
        <v>1</v>
      </c>
    </row>
    <row r="13" customFormat="false" ht="15" hidden="false" customHeight="false" outlineLevel="0" collapsed="false">
      <c r="A13" s="20" t="n">
        <v>2024</v>
      </c>
      <c r="B13" s="9" t="s">
        <v>14</v>
      </c>
      <c r="C13" s="28" t="n">
        <v>4620</v>
      </c>
      <c r="D13" s="29" t="n">
        <v>1217</v>
      </c>
      <c r="E13" s="29" t="n">
        <v>4491372</v>
      </c>
      <c r="F13" s="18" t="n">
        <v>0.025</v>
      </c>
      <c r="G13" s="18" t="n">
        <v>0.948</v>
      </c>
      <c r="H13" s="18" t="n">
        <v>0.127</v>
      </c>
      <c r="I13" s="18" t="n">
        <v>0.094</v>
      </c>
      <c r="J13" s="19" t="n">
        <v>0.952</v>
      </c>
    </row>
    <row r="14" customFormat="false" ht="15" hidden="false" customHeight="false" outlineLevel="0" collapsed="false">
      <c r="A14" s="22" t="n">
        <v>2024</v>
      </c>
      <c r="B14" s="23" t="s">
        <v>15</v>
      </c>
      <c r="C14" s="24" t="n">
        <v>4580</v>
      </c>
      <c r="D14" s="25" t="n">
        <v>1342</v>
      </c>
      <c r="E14" s="25" t="n">
        <v>4931078</v>
      </c>
      <c r="F14" s="26" t="n">
        <v>0.074</v>
      </c>
      <c r="G14" s="26" t="n">
        <v>0.911</v>
      </c>
      <c r="H14" s="26" t="n">
        <v>0.161</v>
      </c>
      <c r="I14" s="26" t="n">
        <v>0.11</v>
      </c>
      <c r="J14" s="27" t="n">
        <v>1.048</v>
      </c>
    </row>
    <row r="15" customFormat="false" ht="15" hidden="false" customHeight="false" outlineLevel="0" collapsed="false">
      <c r="A15" s="20" t="n">
        <v>2024</v>
      </c>
      <c r="B15" s="9" t="s">
        <v>16</v>
      </c>
      <c r="C15" s="28" t="n">
        <v>4440</v>
      </c>
      <c r="D15" s="29" t="n">
        <v>1405</v>
      </c>
      <c r="E15" s="29" t="n">
        <v>4990860</v>
      </c>
      <c r="F15" s="18" t="n">
        <v>0.097</v>
      </c>
      <c r="G15" s="18" t="n">
        <v>0.892</v>
      </c>
      <c r="H15" s="18" t="n">
        <v>0.178</v>
      </c>
      <c r="I15" s="18" t="n">
        <v>0.122</v>
      </c>
      <c r="J15" s="19" t="n">
        <v>1.095</v>
      </c>
    </row>
    <row r="16" customFormat="false" ht="15" hidden="false" customHeight="false" outlineLevel="0" collapsed="false">
      <c r="A16" s="22" t="n">
        <v>2024</v>
      </c>
      <c r="B16" s="23" t="s">
        <v>17</v>
      </c>
      <c r="C16" s="24" t="n">
        <v>4360</v>
      </c>
      <c r="D16" s="25" t="n">
        <v>1467</v>
      </c>
      <c r="E16" s="25" t="n">
        <v>5111964</v>
      </c>
      <c r="F16" s="26" t="n">
        <v>0.128</v>
      </c>
      <c r="G16" s="26" t="n">
        <v>0.874</v>
      </c>
      <c r="H16" s="26" t="n">
        <v>0.201</v>
      </c>
      <c r="I16" s="26" t="n">
        <v>0.135</v>
      </c>
      <c r="J16" s="27" t="n">
        <v>1.142</v>
      </c>
    </row>
    <row r="17" customFormat="false" ht="15" hidden="false" customHeight="false" outlineLevel="0" collapsed="false">
      <c r="A17" s="20" t="n">
        <v>2025</v>
      </c>
      <c r="B17" s="9" t="s">
        <v>13</v>
      </c>
      <c r="C17" s="28" t="n">
        <v>21410</v>
      </c>
      <c r="D17" s="29" t="n">
        <v>1342</v>
      </c>
      <c r="E17" s="29" t="n">
        <v>23076178</v>
      </c>
      <c r="F17" s="18" t="n">
        <v>0.056</v>
      </c>
      <c r="G17" s="18" t="n">
        <v>0.947</v>
      </c>
      <c r="H17" s="18" t="n">
        <v>0.149</v>
      </c>
      <c r="I17" s="18" t="n">
        <v>0.103</v>
      </c>
      <c r="J17" s="19" t="n">
        <v>1</v>
      </c>
    </row>
    <row r="18" customFormat="false" ht="15" hidden="false" customHeight="false" outlineLevel="0" collapsed="false">
      <c r="A18" s="22" t="n">
        <v>2025</v>
      </c>
      <c r="B18" s="23" t="s">
        <v>14</v>
      </c>
      <c r="C18" s="24" t="n">
        <v>4880</v>
      </c>
      <c r="D18" s="25" t="n">
        <v>1277</v>
      </c>
      <c r="E18" s="25" t="n">
        <v>4973260</v>
      </c>
      <c r="F18" s="26" t="n">
        <v>0.027</v>
      </c>
      <c r="G18" s="26" t="n">
        <v>0.962</v>
      </c>
      <c r="H18" s="26" t="n">
        <v>0.13</v>
      </c>
      <c r="I18" s="26" t="n">
        <v>0.096</v>
      </c>
      <c r="J18" s="27" t="n">
        <v>0.952</v>
      </c>
    </row>
    <row r="19" customFormat="false" ht="15" hidden="false" customHeight="false" outlineLevel="0" collapsed="false">
      <c r="A19" s="20" t="n">
        <v>2025</v>
      </c>
      <c r="B19" s="9" t="s">
        <v>15</v>
      </c>
      <c r="C19" s="28" t="n">
        <v>4830</v>
      </c>
      <c r="D19" s="29" t="n">
        <v>1408</v>
      </c>
      <c r="E19" s="29" t="n">
        <v>5462160</v>
      </c>
      <c r="F19" s="18" t="n">
        <v>0.077</v>
      </c>
      <c r="G19" s="18" t="n">
        <v>0.924</v>
      </c>
      <c r="H19" s="18" t="n">
        <v>0.164</v>
      </c>
      <c r="I19" s="18" t="n">
        <v>0.113</v>
      </c>
      <c r="J19" s="19" t="n">
        <v>1.048</v>
      </c>
    </row>
    <row r="20" customFormat="false" ht="15" hidden="false" customHeight="false" outlineLevel="0" collapsed="false">
      <c r="A20" s="22" t="n">
        <v>2025</v>
      </c>
      <c r="B20" s="23" t="s">
        <v>16</v>
      </c>
      <c r="C20" s="24" t="n">
        <v>4690</v>
      </c>
      <c r="D20" s="25" t="n">
        <v>1474</v>
      </c>
      <c r="E20" s="25" t="n">
        <v>5543180</v>
      </c>
      <c r="F20" s="26" t="n">
        <v>0.101</v>
      </c>
      <c r="G20" s="26" t="n">
        <v>0.906</v>
      </c>
      <c r="H20" s="26" t="n">
        <v>0.182</v>
      </c>
      <c r="I20" s="26" t="n">
        <v>0.125</v>
      </c>
      <c r="J20" s="27" t="n">
        <v>1.095</v>
      </c>
    </row>
    <row r="21" customFormat="false" ht="15" hidden="false" customHeight="false" outlineLevel="0" collapsed="false">
      <c r="A21" s="20" t="n">
        <v>2025</v>
      </c>
      <c r="B21" s="9" t="s">
        <v>17</v>
      </c>
      <c r="C21" s="28" t="n">
        <v>4610</v>
      </c>
      <c r="D21" s="29" t="n">
        <v>1538</v>
      </c>
      <c r="E21" s="29" t="n">
        <v>5672090</v>
      </c>
      <c r="F21" s="18" t="n">
        <v>0.132</v>
      </c>
      <c r="G21" s="18" t="n">
        <v>0.887</v>
      </c>
      <c r="H21" s="18" t="n">
        <v>0.205</v>
      </c>
      <c r="I21" s="18" t="n">
        <v>0.138</v>
      </c>
      <c r="J21" s="19" t="n">
        <v>1.142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30" t="s">
        <v>33</v>
      </c>
      <c r="B1" s="30"/>
      <c r="C1" s="30"/>
      <c r="D1" s="30"/>
      <c r="E1" s="30"/>
      <c r="F1" s="30"/>
      <c r="G1" s="30"/>
      <c r="H1" s="30"/>
      <c r="I1" s="30"/>
      <c r="J1" s="30"/>
    </row>
    <row r="3" customFormat="false" ht="15" hidden="false" customHeight="false" outlineLevel="0" collapsed="false">
      <c r="A3" s="31" t="s">
        <v>7</v>
      </c>
      <c r="B3" s="31" t="s">
        <v>8</v>
      </c>
      <c r="C3" s="31" t="s">
        <v>10</v>
      </c>
    </row>
    <row r="4" customFormat="false" ht="15" hidden="false" customHeight="false" outlineLevel="0" collapsed="false">
      <c r="A4" s="32" t="s">
        <v>13</v>
      </c>
      <c r="B4" s="33" t="n">
        <f aca="false">SUMIF(Données!B:B,A4,Données!C:C)</f>
        <v>79260</v>
      </c>
      <c r="C4" s="34" t="n">
        <f aca="false">SUMIF(Données!B:B,A4,Données!E:E)</f>
        <v>80116222</v>
      </c>
    </row>
    <row r="5" customFormat="false" ht="15" hidden="false" customHeight="false" outlineLevel="0" collapsed="false">
      <c r="A5" s="32" t="s">
        <v>14</v>
      </c>
      <c r="B5" s="33" t="n">
        <f aca="false">SUMIF(Données!B:B,A5,Données!C:C)</f>
        <v>18090</v>
      </c>
      <c r="C5" s="34" t="n">
        <f aca="false">SUMIF(Données!B:B,A5,Données!E:E)</f>
        <v>17321737</v>
      </c>
    </row>
    <row r="6" customFormat="false" ht="15" hidden="false" customHeight="false" outlineLevel="0" collapsed="false">
      <c r="A6" s="32" t="s">
        <v>15</v>
      </c>
      <c r="B6" s="33" t="n">
        <f aca="false">SUMIF(Données!B:B,A6,Données!C:C)</f>
        <v>17930</v>
      </c>
      <c r="C6" s="34" t="n">
        <f aca="false">SUMIF(Données!B:B,A6,Données!E:E)</f>
        <v>19008260</v>
      </c>
    </row>
    <row r="7" customFormat="false" ht="15" hidden="false" customHeight="false" outlineLevel="0" collapsed="false">
      <c r="A7" s="32" t="s">
        <v>16</v>
      </c>
      <c r="B7" s="33" t="n">
        <f aca="false">SUMIF(Données!B:B,A7,Données!C:C)</f>
        <v>17390</v>
      </c>
      <c r="C7" s="34" t="n">
        <f aca="false">SUMIF(Données!B:B,A7,Données!E:E)</f>
        <v>19256366</v>
      </c>
    </row>
    <row r="8" customFormat="false" ht="15" hidden="false" customHeight="false" outlineLevel="0" collapsed="false">
      <c r="A8" s="32" t="s">
        <v>17</v>
      </c>
      <c r="B8" s="33" t="n">
        <f aca="false">SUMIF(Données!B:B,A8,Données!C:C)</f>
        <v>17080</v>
      </c>
      <c r="C8" s="34" t="n">
        <f aca="false">SUMIF(Données!B:B,A8,Données!E:E)</f>
        <v>19729346</v>
      </c>
    </row>
    <row r="23" customFormat="false" ht="15" hidden="false" customHeight="false" outlineLevel="0" collapsed="false">
      <c r="A23" s="31" t="s">
        <v>7</v>
      </c>
      <c r="B23" s="31" t="s">
        <v>20</v>
      </c>
      <c r="C23" s="31" t="s">
        <v>34</v>
      </c>
      <c r="D23" s="31" t="s">
        <v>35</v>
      </c>
    </row>
    <row r="24" customFormat="false" ht="15" hidden="false" customHeight="false" outlineLevel="0" collapsed="false">
      <c r="A24" s="32" t="s">
        <v>13</v>
      </c>
      <c r="B24" s="35" t="n">
        <f aca="false">SUMPRODUCT((Données!$B$2:$B$21=A24)*Données!$C$2:$C$21*Données!$F$2:$F$21)/SUMIF(Données!$B$2:$B$21,A24,Données!$C$2:$C$21)</f>
        <v>0.0497900580368408</v>
      </c>
      <c r="C24" s="35" t="n">
        <f aca="false">SUMPRODUCT((Données!$B$2:$B$21=A24)*Données!$C$2:$C$21*Données!$H$2:$H$21)/SUMIF(Données!$B$2:$B$21,A24,Données!$C$2:$C$21)</f>
        <v>0.143984733787535</v>
      </c>
      <c r="D24" s="35" t="n">
        <f aca="false">SUMPRODUCT((Données!$B$2:$B$21=A24)*Données!$C$2:$C$21*Données!$I$2:$I$21)/SUMIF(Données!$B$2:$B$21,A24,Données!$C$2:$C$21)</f>
        <v>0.0996534191269241</v>
      </c>
    </row>
    <row r="25" customFormat="false" ht="15" hidden="false" customHeight="false" outlineLevel="0" collapsed="false">
      <c r="A25" s="32" t="s">
        <v>14</v>
      </c>
      <c r="B25" s="35" t="n">
        <f aca="false">SUMPRODUCT((Données!$B$2:$B$21=A25)*Données!$C$2:$C$21*Données!$F$2:$F$21)/SUMIF(Données!$B$2:$B$21,A25,Données!$C$2:$C$21)</f>
        <v>0.0241243781094527</v>
      </c>
      <c r="C25" s="35" t="n">
        <f aca="false">SUMPRODUCT((Données!$B$2:$B$21=A25)*Données!$C$2:$C$21*Données!$H$2:$H$21)/SUMIF(Données!$B$2:$B$21,A25,Données!$C$2:$C$21)</f>
        <v>0.125686567164179</v>
      </c>
      <c r="D25" s="35" t="n">
        <f aca="false">SUMPRODUCT((Données!$B$2:$B$21=A25)*Données!$C$2:$C$21*Données!$I$2:$I$21)/SUMIF(Données!$B$2:$B$21,A25,Données!$C$2:$C$21)</f>
        <v>0.0924168048645661</v>
      </c>
    </row>
    <row r="26" customFormat="false" ht="15" hidden="false" customHeight="false" outlineLevel="0" collapsed="false">
      <c r="A26" s="32" t="s">
        <v>15</v>
      </c>
      <c r="B26" s="35" t="n">
        <f aca="false">SUMPRODUCT((Données!$B$2:$B$21=A26)*Données!$C$2:$C$21*Données!$F$2:$F$21)/SUMIF(Données!$B$2:$B$21,A26,Données!$C$2:$C$21)</f>
        <v>0.071983825989961</v>
      </c>
      <c r="C26" s="35" t="n">
        <f aca="false">SUMPRODUCT((Données!$B$2:$B$21=A26)*Données!$C$2:$C$21*Données!$H$2:$H$21)/SUMIF(Données!$B$2:$B$21,A26,Données!$C$2:$C$21)</f>
        <v>0.158741773563859</v>
      </c>
      <c r="D26" s="35" t="n">
        <f aca="false">SUMPRODUCT((Données!$B$2:$B$21=A26)*Données!$C$2:$C$21*Données!$I$2:$I$21)/SUMIF(Données!$B$2:$B$21,A26,Données!$C$2:$C$21)</f>
        <v>0.108683212493028</v>
      </c>
    </row>
    <row r="27" customFormat="false" ht="15" hidden="false" customHeight="false" outlineLevel="0" collapsed="false">
      <c r="A27" s="32" t="s">
        <v>16</v>
      </c>
      <c r="B27" s="35" t="n">
        <f aca="false">SUMPRODUCT((Données!$B$2:$B$21=A27)*Données!$C$2:$C$21*Données!$F$2:$F$21)/SUMIF(Données!$B$2:$B$21,A27,Données!$C$2:$C$21)</f>
        <v>0.0952564692351926</v>
      </c>
      <c r="C27" s="35" t="n">
        <f aca="false">SUMPRODUCT((Données!$B$2:$B$21=A27)*Données!$C$2:$C$21*Données!$H$2:$H$21)/SUMIF(Données!$B$2:$B$21,A27,Données!$C$2:$C$21)</f>
        <v>0.175539390454284</v>
      </c>
      <c r="D27" s="35" t="n">
        <f aca="false">SUMPRODUCT((Données!$B$2:$B$21=A27)*Données!$C$2:$C$21*Données!$I$2:$I$21)/SUMIF(Données!$B$2:$B$21,A27,Données!$C$2:$C$21)</f>
        <v>0.120452558941921</v>
      </c>
    </row>
    <row r="28" customFormat="false" ht="15" hidden="false" customHeight="false" outlineLevel="0" collapsed="false">
      <c r="A28" s="32" t="s">
        <v>17</v>
      </c>
      <c r="B28" s="35" t="n">
        <f aca="false">SUMPRODUCT((Données!$B$2:$B$21=A28)*Données!$C$2:$C$21*Données!$F$2:$F$21)/SUMIF(Données!$B$2:$B$21,A28,Données!$C$2:$C$21)</f>
        <v>0.125782201405152</v>
      </c>
      <c r="C28" s="35" t="n">
        <f aca="false">SUMPRODUCT((Données!$B$2:$B$21=A28)*Données!$C$2:$C$21*Données!$H$2:$H$21)/SUMIF(Données!$B$2:$B$21,A28,Données!$C$2:$C$21)</f>
        <v>0.198074355971897</v>
      </c>
      <c r="D28" s="35" t="n">
        <f aca="false">SUMPRODUCT((Données!$B$2:$B$21=A28)*Données!$C$2:$C$21*Données!$I$2:$I$21)/SUMIF(Données!$B$2:$B$21,A28,Données!$C$2:$C$21)</f>
        <v>0.132978337236534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2026-04-17T05:53:23Z</dcterms:created>
  <dc:creator>openpyxl</dc:creator>
  <dc:description/>
  <dc:language>en-US</dc:language>
  <cp:lastModifiedBy/>
  <dcterms:modified xsi:type="dcterms:W3CDTF">2026-04-17T05:53:31Z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